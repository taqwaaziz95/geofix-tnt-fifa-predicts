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netorgft5811281-my.sharepoint.com/personal/fathan_mauludin_geofix-id_com/Documents/"/>
    </mc:Choice>
  </mc:AlternateContent>
  <xr:revisionPtr revIDLastSave="0" documentId="8_{E0818E76-68AB-4DE9-931C-FE7EB0401028}" xr6:coauthVersionLast="47" xr6:coauthVersionMax="47" xr10:uidLastSave="{00000000-0000-0000-0000-000000000000}"/>
  <bookViews>
    <workbookView xWindow="43080" yWindow="6900" windowWidth="29040" windowHeight="15720" xr2:uid="{00000000-000D-0000-FFFF-FFFF00000000}"/>
  </bookViews>
  <sheets>
    <sheet name="Instructions &amp; Rules" sheetId="1" r:id="rId1"/>
    <sheet name="Players" sheetId="2" r:id="rId2"/>
    <sheet name="Official Results" sheetId="3" r:id="rId3"/>
    <sheet name="Group Stage Predictions" sheetId="4" r:id="rId4"/>
    <sheet name="Round of 32 Predictions" sheetId="5" r:id="rId5"/>
    <sheet name="Round of 16 Predictions" sheetId="6" r:id="rId6"/>
    <sheet name="Quarter-finals Predictions" sheetId="7" r:id="rId7"/>
    <sheet name="Semi-finals Predictions" sheetId="8" r:id="rId8"/>
    <sheet name="Final Predictions" sheetId="9" r:id="rId9"/>
    <sheet name="Leaderboard" sheetId="10" r:id="rId10"/>
    <sheet name="Lists" sheetId="12" state="hidden" r:id="rId11"/>
    <sheet name="Statistics Dashboard" sheetId="11" r:id="rId12"/>
  </sheets>
  <definedNames>
    <definedName name="AllTeams">Lists!$A$2:$A$49</definedName>
    <definedName name="GroupA_Teams">Lists!$B$2:$B$5</definedName>
    <definedName name="GroupB_Teams">Lists!$C$2:$C$5</definedName>
    <definedName name="GroupC_Teams">Lists!$D$2:$D$5</definedName>
    <definedName name="GroupD_Teams">Lists!$E$2:$E$5</definedName>
    <definedName name="GroupE_Teams">Lists!$F$2:$F$5</definedName>
    <definedName name="GroupF_Teams">Lists!$G$2:$G$5</definedName>
    <definedName name="GroupG_Teams">Lists!$H$2:$H$5</definedName>
    <definedName name="GroupH_Teams">Lists!$I$2:$I$5</definedName>
    <definedName name="GroupI_Teams">Lists!$J$2:$J$5</definedName>
    <definedName name="GroupJ_Teams">Lists!$K$2:$K$5</definedName>
    <definedName name="GroupK_Teams">Lists!$L$2:$L$5</definedName>
    <definedName name="GroupL_Teams">Lists!$M$2:$M$5</definedName>
    <definedName name="KO_Final">Lists!$AS$2:$AS$3</definedName>
    <definedName name="KO_QF_1">Lists!$AM$2:$AM$3</definedName>
    <definedName name="KO_QF_2">Lists!$AN$2:$AN$3</definedName>
    <definedName name="KO_QF_3">Lists!$AO$2:$AO$3</definedName>
    <definedName name="KO_QF_4">Lists!$AP$2:$AP$3</definedName>
    <definedName name="KO_R16_1">Lists!$AE$2:$AE$3</definedName>
    <definedName name="KO_R16_2">Lists!$AF$2:$AF$3</definedName>
    <definedName name="KO_R16_3">Lists!$AG$2:$AG$3</definedName>
    <definedName name="KO_R16_4">Lists!$AH$2:$AH$3</definedName>
    <definedName name="KO_R16_5">Lists!$AI$2:$AI$3</definedName>
    <definedName name="KO_R16_6">Lists!$AJ$2:$AJ$3</definedName>
    <definedName name="KO_R16_7">Lists!$AK$2:$AK$3</definedName>
    <definedName name="KO_R16_8">Lists!$AL$2:$AL$3</definedName>
    <definedName name="KO_R32_M73">Lists!$O$2:$O$3</definedName>
    <definedName name="KO_R32_M74">Lists!$P$2:$P$3</definedName>
    <definedName name="KO_R32_M75">Lists!$Q$2:$Q$3</definedName>
    <definedName name="KO_R32_M76">Lists!$R$2:$R$3</definedName>
    <definedName name="KO_R32_M77">Lists!$S$2:$S$3</definedName>
    <definedName name="KO_R32_M78">Lists!$T$2:$T$3</definedName>
    <definedName name="KO_R32_M79">Lists!$U$2:$U$3</definedName>
    <definedName name="KO_R32_M80">Lists!$V$2:$V$3</definedName>
    <definedName name="KO_R32_M81">Lists!$W$2:$W$3</definedName>
    <definedName name="KO_R32_M82">Lists!$X$2:$X$3</definedName>
    <definedName name="KO_R32_M83">Lists!$Y$2:$Y$3</definedName>
    <definedName name="KO_R32_M84">Lists!$Z$2:$Z$3</definedName>
    <definedName name="KO_R32_M85">Lists!$AA$2:$AA$3</definedName>
    <definedName name="KO_R32_M86">Lists!$AB$2:$AB$3</definedName>
    <definedName name="KO_R32_M87">Lists!$AC$2:$AC$3</definedName>
    <definedName name="KO_R32_M88">Lists!$AD$2:$AD$3</definedName>
    <definedName name="KO_SF_1">Lists!$AQ$2:$AQ$3</definedName>
    <definedName name="KO_SF_2">Lists!$AR$2:$AR$3</definedName>
    <definedName name="KO_Third">Lists!$AT$2:$AT$3</definedName>
  </definedNames>
  <calcPr calcId="191028" calcMode="manual" iterateDelta="1E-4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2" i="3" l="1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F214" i="3"/>
  <c r="F215" i="3"/>
  <c r="F216" i="3"/>
  <c r="F217" i="3"/>
  <c r="F218" i="3"/>
  <c r="F219" i="3"/>
  <c r="C54" i="3" s="1"/>
  <c r="F220" i="3"/>
  <c r="F221" i="3"/>
  <c r="F25" i="10"/>
  <c r="C25" i="10"/>
  <c r="B25" i="10"/>
  <c r="F24" i="10"/>
  <c r="C24" i="10"/>
  <c r="B24" i="10"/>
  <c r="F23" i="10"/>
  <c r="C23" i="10"/>
  <c r="B23" i="10"/>
  <c r="F22" i="10"/>
  <c r="C22" i="10"/>
  <c r="B22" i="10"/>
  <c r="F21" i="10"/>
  <c r="C21" i="10"/>
  <c r="B21" i="10"/>
  <c r="F20" i="10"/>
  <c r="C20" i="10"/>
  <c r="B20" i="10"/>
  <c r="F19" i="10"/>
  <c r="C19" i="10"/>
  <c r="B19" i="10"/>
  <c r="F18" i="10"/>
  <c r="C18" i="10"/>
  <c r="B18" i="10"/>
  <c r="F17" i="10"/>
  <c r="C17" i="10"/>
  <c r="B17" i="10"/>
  <c r="F16" i="10"/>
  <c r="C16" i="10"/>
  <c r="B16" i="10"/>
  <c r="F15" i="10"/>
  <c r="C15" i="10"/>
  <c r="B15" i="10"/>
  <c r="F14" i="10"/>
  <c r="C14" i="10"/>
  <c r="B14" i="10"/>
  <c r="F13" i="10"/>
  <c r="C13" i="10"/>
  <c r="B13" i="10"/>
  <c r="F12" i="10"/>
  <c r="C12" i="10"/>
  <c r="B12" i="10"/>
  <c r="F11" i="10"/>
  <c r="C11" i="10"/>
  <c r="B11" i="10"/>
  <c r="F10" i="10"/>
  <c r="C10" i="10"/>
  <c r="B10" i="10"/>
  <c r="F9" i="10"/>
  <c r="C9" i="10"/>
  <c r="B9" i="10"/>
  <c r="F8" i="10"/>
  <c r="C8" i="10"/>
  <c r="B8" i="10"/>
  <c r="F7" i="10"/>
  <c r="C7" i="10"/>
  <c r="B7" i="10"/>
  <c r="F6" i="10"/>
  <c r="C6" i="10"/>
  <c r="B6" i="10"/>
  <c r="G25" i="9"/>
  <c r="A25" i="9"/>
  <c r="G24" i="9"/>
  <c r="A24" i="9"/>
  <c r="G23" i="9"/>
  <c r="A23" i="9"/>
  <c r="G22" i="9"/>
  <c r="A22" i="9"/>
  <c r="G21" i="9"/>
  <c r="A21" i="9"/>
  <c r="G20" i="9"/>
  <c r="A20" i="9"/>
  <c r="G19" i="9"/>
  <c r="A19" i="9"/>
  <c r="G18" i="9"/>
  <c r="A18" i="9"/>
  <c r="G17" i="9"/>
  <c r="A17" i="9"/>
  <c r="G16" i="9"/>
  <c r="A16" i="9"/>
  <c r="G15" i="9"/>
  <c r="A15" i="9"/>
  <c r="G14" i="9"/>
  <c r="A14" i="9"/>
  <c r="G13" i="9"/>
  <c r="A13" i="9"/>
  <c r="G12" i="9"/>
  <c r="A12" i="9"/>
  <c r="G11" i="9"/>
  <c r="A11" i="9"/>
  <c r="G10" i="9"/>
  <c r="A10" i="9"/>
  <c r="G9" i="9"/>
  <c r="A9" i="9"/>
  <c r="G8" i="9"/>
  <c r="A8" i="9"/>
  <c r="G7" i="9"/>
  <c r="A7" i="9"/>
  <c r="G6" i="9"/>
  <c r="A6" i="9"/>
  <c r="G25" i="8"/>
  <c r="F25" i="8"/>
  <c r="A25" i="8"/>
  <c r="G24" i="8"/>
  <c r="F24" i="8"/>
  <c r="A24" i="8"/>
  <c r="G23" i="8"/>
  <c r="F23" i="8"/>
  <c r="A23" i="8"/>
  <c r="G22" i="8"/>
  <c r="F22" i="8"/>
  <c r="A22" i="8"/>
  <c r="G21" i="8"/>
  <c r="F21" i="8"/>
  <c r="A21" i="8"/>
  <c r="G20" i="8"/>
  <c r="F20" i="8"/>
  <c r="A20" i="8"/>
  <c r="G19" i="8"/>
  <c r="F19" i="8"/>
  <c r="A19" i="8"/>
  <c r="G18" i="8"/>
  <c r="F18" i="8"/>
  <c r="A18" i="8"/>
  <c r="G17" i="8"/>
  <c r="F17" i="8"/>
  <c r="A17" i="8"/>
  <c r="G16" i="8"/>
  <c r="F16" i="8"/>
  <c r="A16" i="8"/>
  <c r="G15" i="8"/>
  <c r="F15" i="8"/>
  <c r="A15" i="8"/>
  <c r="G14" i="8"/>
  <c r="F14" i="8"/>
  <c r="A14" i="8"/>
  <c r="G13" i="8"/>
  <c r="F13" i="8"/>
  <c r="A13" i="8"/>
  <c r="G12" i="8"/>
  <c r="F12" i="8"/>
  <c r="A12" i="8"/>
  <c r="G11" i="8"/>
  <c r="F11" i="8"/>
  <c r="A11" i="8"/>
  <c r="G10" i="8"/>
  <c r="F10" i="8"/>
  <c r="A10" i="8"/>
  <c r="G9" i="8"/>
  <c r="F9" i="8"/>
  <c r="A9" i="8"/>
  <c r="G8" i="8"/>
  <c r="F8" i="8"/>
  <c r="A8" i="8"/>
  <c r="G7" i="8"/>
  <c r="F7" i="8"/>
  <c r="A7" i="8"/>
  <c r="G6" i="8"/>
  <c r="F6" i="8"/>
  <c r="A6" i="8"/>
  <c r="I25" i="7"/>
  <c r="H25" i="7"/>
  <c r="A25" i="7"/>
  <c r="I24" i="7"/>
  <c r="H24" i="7"/>
  <c r="A24" i="7"/>
  <c r="I23" i="7"/>
  <c r="H23" i="7"/>
  <c r="A23" i="7"/>
  <c r="I22" i="7"/>
  <c r="H22" i="7"/>
  <c r="A22" i="7"/>
  <c r="I21" i="7"/>
  <c r="H21" i="7"/>
  <c r="A21" i="7"/>
  <c r="I20" i="7"/>
  <c r="H20" i="7"/>
  <c r="A20" i="7"/>
  <c r="I19" i="7"/>
  <c r="H19" i="7"/>
  <c r="A19" i="7"/>
  <c r="I18" i="7"/>
  <c r="H18" i="7"/>
  <c r="A18" i="7"/>
  <c r="I17" i="7"/>
  <c r="H17" i="7"/>
  <c r="A17" i="7"/>
  <c r="I16" i="7"/>
  <c r="H16" i="7"/>
  <c r="A16" i="7"/>
  <c r="I15" i="7"/>
  <c r="H15" i="7"/>
  <c r="A15" i="7"/>
  <c r="I14" i="7"/>
  <c r="H14" i="7"/>
  <c r="A14" i="7"/>
  <c r="I13" i="7"/>
  <c r="H13" i="7"/>
  <c r="A13" i="7"/>
  <c r="I12" i="7"/>
  <c r="H12" i="7"/>
  <c r="A12" i="7"/>
  <c r="I11" i="7"/>
  <c r="H11" i="7"/>
  <c r="A11" i="7"/>
  <c r="I10" i="7"/>
  <c r="H10" i="7"/>
  <c r="A10" i="7"/>
  <c r="I9" i="7"/>
  <c r="H9" i="7"/>
  <c r="A9" i="7"/>
  <c r="I8" i="7"/>
  <c r="H8" i="7"/>
  <c r="A8" i="7"/>
  <c r="I7" i="7"/>
  <c r="H7" i="7"/>
  <c r="A7" i="7"/>
  <c r="I6" i="7"/>
  <c r="H6" i="7"/>
  <c r="A6" i="7"/>
  <c r="M25" i="6"/>
  <c r="L25" i="6"/>
  <c r="A25" i="6"/>
  <c r="M24" i="6"/>
  <c r="L24" i="6"/>
  <c r="A24" i="6"/>
  <c r="M23" i="6"/>
  <c r="L23" i="6"/>
  <c r="A23" i="6"/>
  <c r="M22" i="6"/>
  <c r="L22" i="6"/>
  <c r="A22" i="6"/>
  <c r="M21" i="6"/>
  <c r="L21" i="6"/>
  <c r="A21" i="6"/>
  <c r="M20" i="6"/>
  <c r="L20" i="6"/>
  <c r="A20" i="6"/>
  <c r="M19" i="6"/>
  <c r="L19" i="6"/>
  <c r="A19" i="6"/>
  <c r="M18" i="6"/>
  <c r="L18" i="6"/>
  <c r="A18" i="6"/>
  <c r="M17" i="6"/>
  <c r="L17" i="6"/>
  <c r="A17" i="6"/>
  <c r="M16" i="6"/>
  <c r="L16" i="6"/>
  <c r="A16" i="6"/>
  <c r="M15" i="6"/>
  <c r="L15" i="6"/>
  <c r="A15" i="6"/>
  <c r="M14" i="6"/>
  <c r="L14" i="6"/>
  <c r="A14" i="6"/>
  <c r="M13" i="6"/>
  <c r="L13" i="6"/>
  <c r="A13" i="6"/>
  <c r="M12" i="6"/>
  <c r="L12" i="6"/>
  <c r="A12" i="6"/>
  <c r="M11" i="6"/>
  <c r="L11" i="6"/>
  <c r="A11" i="6"/>
  <c r="M10" i="6"/>
  <c r="L10" i="6"/>
  <c r="A10" i="6"/>
  <c r="M9" i="6"/>
  <c r="L9" i="6"/>
  <c r="A9" i="6"/>
  <c r="M8" i="6"/>
  <c r="L8" i="6"/>
  <c r="A8" i="6"/>
  <c r="M7" i="6"/>
  <c r="L7" i="6"/>
  <c r="A7" i="6"/>
  <c r="M6" i="6"/>
  <c r="L6" i="6"/>
  <c r="A6" i="6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BM25" i="4"/>
  <c r="A25" i="4"/>
  <c r="BM24" i="4"/>
  <c r="A24" i="4"/>
  <c r="BM23" i="4"/>
  <c r="A23" i="4"/>
  <c r="BM22" i="4"/>
  <c r="A22" i="4"/>
  <c r="BM21" i="4"/>
  <c r="A21" i="4"/>
  <c r="BM20" i="4"/>
  <c r="A20" i="4"/>
  <c r="BM19" i="4"/>
  <c r="A19" i="4"/>
  <c r="BM18" i="4"/>
  <c r="A18" i="4"/>
  <c r="BM17" i="4"/>
  <c r="A17" i="4"/>
  <c r="BM16" i="4"/>
  <c r="A16" i="4"/>
  <c r="BM15" i="4"/>
  <c r="A15" i="4"/>
  <c r="BM14" i="4"/>
  <c r="A14" i="4"/>
  <c r="BM13" i="4"/>
  <c r="A13" i="4"/>
  <c r="BM12" i="4"/>
  <c r="A12" i="4"/>
  <c r="BM11" i="4"/>
  <c r="A11" i="4"/>
  <c r="BM10" i="4"/>
  <c r="A10" i="4"/>
  <c r="BM9" i="4"/>
  <c r="A9" i="4"/>
  <c r="BM8" i="4"/>
  <c r="A8" i="4"/>
  <c r="BM7" i="4"/>
  <c r="A7" i="4"/>
  <c r="BM6" i="4"/>
  <c r="A6" i="4"/>
  <c r="I201" i="3"/>
  <c r="I200" i="3"/>
  <c r="I199" i="3"/>
  <c r="I198" i="3"/>
  <c r="I197" i="3"/>
  <c r="I196" i="3"/>
  <c r="I195" i="3"/>
  <c r="I194" i="3"/>
  <c r="I193" i="3"/>
  <c r="I192" i="3"/>
  <c r="I191" i="3"/>
  <c r="I190" i="3"/>
  <c r="H182" i="3"/>
  <c r="G182" i="3"/>
  <c r="H181" i="3"/>
  <c r="G181" i="3"/>
  <c r="H180" i="3"/>
  <c r="G180" i="3"/>
  <c r="H179" i="3"/>
  <c r="G179" i="3"/>
  <c r="H178" i="3"/>
  <c r="G178" i="3"/>
  <c r="H177" i="3"/>
  <c r="G177" i="3"/>
  <c r="H176" i="3"/>
  <c r="G176" i="3"/>
  <c r="H175" i="3"/>
  <c r="G175" i="3"/>
  <c r="H174" i="3"/>
  <c r="G174" i="3"/>
  <c r="H173" i="3"/>
  <c r="G173" i="3"/>
  <c r="H172" i="3"/>
  <c r="G172" i="3"/>
  <c r="H171" i="3"/>
  <c r="G171" i="3"/>
  <c r="H170" i="3"/>
  <c r="G170" i="3"/>
  <c r="H169" i="3"/>
  <c r="G169" i="3"/>
  <c r="H168" i="3"/>
  <c r="G168" i="3"/>
  <c r="H167" i="3"/>
  <c r="G167" i="3"/>
  <c r="H166" i="3"/>
  <c r="G166" i="3"/>
  <c r="H165" i="3"/>
  <c r="G165" i="3"/>
  <c r="H164" i="3"/>
  <c r="G164" i="3"/>
  <c r="H163" i="3"/>
  <c r="G163" i="3"/>
  <c r="H162" i="3"/>
  <c r="G162" i="3"/>
  <c r="H161" i="3"/>
  <c r="G161" i="3"/>
  <c r="H160" i="3"/>
  <c r="G160" i="3"/>
  <c r="H159" i="3"/>
  <c r="G159" i="3"/>
  <c r="H158" i="3"/>
  <c r="G158" i="3"/>
  <c r="H157" i="3"/>
  <c r="G157" i="3"/>
  <c r="H156" i="3"/>
  <c r="G156" i="3"/>
  <c r="H155" i="3"/>
  <c r="G155" i="3"/>
  <c r="H154" i="3"/>
  <c r="G154" i="3"/>
  <c r="H153" i="3"/>
  <c r="G153" i="3"/>
  <c r="H152" i="3"/>
  <c r="G152" i="3"/>
  <c r="H151" i="3"/>
  <c r="G151" i="3"/>
  <c r="H150" i="3"/>
  <c r="G150" i="3"/>
  <c r="H149" i="3"/>
  <c r="G149" i="3"/>
  <c r="H148" i="3"/>
  <c r="G148" i="3"/>
  <c r="H147" i="3"/>
  <c r="G147" i="3"/>
  <c r="H146" i="3"/>
  <c r="G146" i="3"/>
  <c r="H145" i="3"/>
  <c r="G145" i="3"/>
  <c r="H144" i="3"/>
  <c r="G144" i="3"/>
  <c r="H143" i="3"/>
  <c r="G143" i="3"/>
  <c r="H142" i="3"/>
  <c r="G142" i="3"/>
  <c r="H141" i="3"/>
  <c r="G141" i="3"/>
  <c r="H140" i="3"/>
  <c r="G140" i="3"/>
  <c r="H139" i="3"/>
  <c r="G139" i="3"/>
  <c r="H138" i="3"/>
  <c r="G138" i="3"/>
  <c r="H137" i="3"/>
  <c r="G137" i="3"/>
  <c r="H136" i="3"/>
  <c r="G136" i="3"/>
  <c r="H135" i="3"/>
  <c r="G135" i="3"/>
  <c r="J130" i="3"/>
  <c r="I130" i="3"/>
  <c r="H130" i="3"/>
  <c r="J129" i="3"/>
  <c r="I129" i="3"/>
  <c r="H129" i="3"/>
  <c r="J128" i="3"/>
  <c r="I128" i="3"/>
  <c r="H128" i="3"/>
  <c r="J127" i="3"/>
  <c r="I127" i="3"/>
  <c r="H127" i="3"/>
  <c r="J126" i="3"/>
  <c r="I126" i="3"/>
  <c r="H126" i="3"/>
  <c r="J125" i="3"/>
  <c r="I125" i="3"/>
  <c r="H125" i="3"/>
  <c r="J124" i="3"/>
  <c r="I124" i="3"/>
  <c r="H124" i="3"/>
  <c r="J123" i="3"/>
  <c r="I123" i="3"/>
  <c r="H123" i="3"/>
  <c r="J122" i="3"/>
  <c r="I122" i="3"/>
  <c r="H122" i="3"/>
  <c r="J121" i="3"/>
  <c r="I121" i="3"/>
  <c r="H121" i="3"/>
  <c r="J120" i="3"/>
  <c r="I120" i="3"/>
  <c r="H120" i="3"/>
  <c r="J119" i="3"/>
  <c r="I119" i="3"/>
  <c r="H119" i="3"/>
  <c r="J118" i="3"/>
  <c r="I118" i="3"/>
  <c r="H118" i="3"/>
  <c r="J117" i="3"/>
  <c r="I117" i="3"/>
  <c r="H117" i="3"/>
  <c r="J116" i="3"/>
  <c r="I116" i="3"/>
  <c r="H116" i="3"/>
  <c r="J115" i="3"/>
  <c r="I115" i="3"/>
  <c r="H115" i="3"/>
  <c r="J114" i="3"/>
  <c r="I114" i="3"/>
  <c r="H114" i="3"/>
  <c r="J113" i="3"/>
  <c r="I113" i="3"/>
  <c r="H113" i="3"/>
  <c r="J112" i="3"/>
  <c r="I112" i="3"/>
  <c r="H112" i="3"/>
  <c r="J111" i="3"/>
  <c r="I111" i="3"/>
  <c r="H111" i="3"/>
  <c r="J110" i="3"/>
  <c r="I110" i="3"/>
  <c r="H110" i="3"/>
  <c r="J109" i="3"/>
  <c r="I109" i="3"/>
  <c r="H109" i="3"/>
  <c r="J108" i="3"/>
  <c r="I108" i="3"/>
  <c r="H108" i="3"/>
  <c r="J107" i="3"/>
  <c r="I107" i="3"/>
  <c r="J71" i="3"/>
  <c r="I71" i="3"/>
  <c r="H71" i="3"/>
  <c r="J70" i="3"/>
  <c r="I70" i="3"/>
  <c r="H70" i="3"/>
  <c r="J69" i="3"/>
  <c r="I69" i="3"/>
  <c r="H69" i="3"/>
  <c r="J68" i="3"/>
  <c r="I68" i="3"/>
  <c r="H68" i="3"/>
  <c r="J67" i="3"/>
  <c r="I67" i="3"/>
  <c r="H67" i="3"/>
  <c r="J66" i="3"/>
  <c r="I66" i="3"/>
  <c r="H66" i="3"/>
  <c r="J65" i="3"/>
  <c r="I65" i="3"/>
  <c r="H65" i="3"/>
  <c r="J64" i="3"/>
  <c r="I64" i="3"/>
  <c r="H64" i="3"/>
  <c r="J63" i="3"/>
  <c r="I63" i="3"/>
  <c r="H63" i="3"/>
  <c r="J62" i="3"/>
  <c r="I62" i="3"/>
  <c r="H62" i="3"/>
  <c r="J61" i="3"/>
  <c r="I61" i="3"/>
  <c r="H61" i="3"/>
  <c r="J60" i="3"/>
  <c r="I60" i="3"/>
  <c r="H60" i="3"/>
  <c r="J59" i="3"/>
  <c r="I59" i="3"/>
  <c r="H59" i="3"/>
  <c r="H107" i="3"/>
  <c r="J106" i="3"/>
  <c r="I106" i="3"/>
  <c r="H106" i="3"/>
  <c r="J105" i="3"/>
  <c r="I105" i="3"/>
  <c r="H105" i="3"/>
  <c r="J104" i="3"/>
  <c r="I104" i="3"/>
  <c r="H104" i="3"/>
  <c r="J103" i="3"/>
  <c r="I103" i="3"/>
  <c r="H103" i="3"/>
  <c r="J102" i="3"/>
  <c r="I102" i="3"/>
  <c r="H102" i="3"/>
  <c r="J101" i="3"/>
  <c r="I101" i="3"/>
  <c r="H101" i="3"/>
  <c r="J100" i="3"/>
  <c r="I100" i="3"/>
  <c r="H100" i="3"/>
  <c r="J99" i="3"/>
  <c r="I99" i="3"/>
  <c r="H99" i="3"/>
  <c r="J98" i="3"/>
  <c r="I98" i="3"/>
  <c r="H98" i="3"/>
  <c r="J97" i="3"/>
  <c r="I97" i="3"/>
  <c r="H97" i="3"/>
  <c r="J96" i="3"/>
  <c r="I96" i="3"/>
  <c r="H96" i="3"/>
  <c r="J95" i="3"/>
  <c r="I95" i="3"/>
  <c r="H95" i="3"/>
  <c r="J94" i="3"/>
  <c r="I94" i="3"/>
  <c r="H94" i="3"/>
  <c r="J93" i="3"/>
  <c r="I93" i="3"/>
  <c r="H93" i="3"/>
  <c r="J92" i="3"/>
  <c r="I92" i="3"/>
  <c r="H92" i="3"/>
  <c r="J91" i="3"/>
  <c r="I91" i="3"/>
  <c r="H91" i="3"/>
  <c r="J90" i="3"/>
  <c r="I90" i="3"/>
  <c r="H90" i="3"/>
  <c r="J89" i="3"/>
  <c r="I89" i="3"/>
  <c r="H89" i="3"/>
  <c r="J88" i="3"/>
  <c r="I88" i="3"/>
  <c r="H88" i="3"/>
  <c r="I81" i="3"/>
  <c r="H81" i="3"/>
  <c r="J80" i="3"/>
  <c r="I80" i="3"/>
  <c r="H80" i="3"/>
  <c r="J79" i="3"/>
  <c r="I79" i="3"/>
  <c r="H79" i="3"/>
  <c r="J78" i="3"/>
  <c r="I78" i="3"/>
  <c r="H78" i="3"/>
  <c r="J77" i="3"/>
  <c r="I77" i="3"/>
  <c r="H77" i="3"/>
  <c r="J76" i="3"/>
  <c r="I76" i="3"/>
  <c r="H76" i="3"/>
  <c r="J75" i="3"/>
  <c r="I75" i="3"/>
  <c r="H75" i="3"/>
  <c r="J74" i="3"/>
  <c r="I74" i="3"/>
  <c r="H74" i="3"/>
  <c r="J73" i="3"/>
  <c r="I73" i="3"/>
  <c r="H73" i="3"/>
  <c r="J72" i="3"/>
  <c r="I72" i="3"/>
  <c r="H72" i="3"/>
  <c r="J87" i="3"/>
  <c r="I87" i="3"/>
  <c r="H87" i="3"/>
  <c r="J86" i="3"/>
  <c r="I86" i="3"/>
  <c r="H86" i="3"/>
  <c r="J85" i="3"/>
  <c r="I85" i="3"/>
  <c r="H85" i="3"/>
  <c r="J84" i="3"/>
  <c r="I84" i="3"/>
  <c r="H84" i="3"/>
  <c r="J83" i="3"/>
  <c r="I83" i="3"/>
  <c r="H83" i="3"/>
  <c r="J82" i="3"/>
  <c r="I82" i="3"/>
  <c r="H82" i="3"/>
  <c r="J81" i="3"/>
  <c r="D171" i="3"/>
  <c r="F170" i="3"/>
  <c r="D170" i="3"/>
  <c r="E150" i="3"/>
  <c r="E149" i="3"/>
  <c r="E148" i="3"/>
  <c r="D148" i="3"/>
  <c r="F147" i="3"/>
  <c r="F146" i="3"/>
  <c r="D164" i="3"/>
  <c r="F155" i="3"/>
  <c r="F161" i="3"/>
  <c r="D161" i="3"/>
  <c r="F159" i="3"/>
  <c r="D159" i="3"/>
  <c r="E157" i="3"/>
  <c r="D156" i="3"/>
  <c r="E155" i="3"/>
  <c r="E153" i="3"/>
  <c r="D155" i="3"/>
  <c r="F154" i="3"/>
  <c r="D154" i="3"/>
  <c r="D163" i="3"/>
  <c r="F162" i="3"/>
  <c r="D162" i="3"/>
  <c r="F160" i="3"/>
  <c r="D160" i="3"/>
  <c r="E162" i="3"/>
  <c r="F172" i="3"/>
  <c r="E172" i="3"/>
  <c r="D172" i="3"/>
  <c r="F171" i="3"/>
  <c r="E145" i="3"/>
  <c r="D144" i="3"/>
  <c r="F136" i="3"/>
  <c r="E169" i="3"/>
  <c r="E165" i="3"/>
  <c r="E163" i="3"/>
  <c r="D135" i="3"/>
  <c r="D181" i="3"/>
  <c r="F180" i="3"/>
  <c r="E180" i="3"/>
  <c r="D180" i="3"/>
  <c r="D147" i="3"/>
  <c r="E146" i="3"/>
  <c r="F181" i="3"/>
  <c r="F166" i="3"/>
  <c r="E164" i="3"/>
  <c r="E160" i="3"/>
  <c r="E158" i="3"/>
  <c r="E154" i="3"/>
  <c r="F150" i="3"/>
  <c r="F149" i="3"/>
  <c r="F152" i="3"/>
  <c r="D150" i="3"/>
  <c r="D149" i="3"/>
  <c r="D141" i="3"/>
  <c r="E140" i="3"/>
  <c r="E139" i="3"/>
  <c r="E138" i="3"/>
  <c r="F135" i="3"/>
  <c r="E170" i="3"/>
  <c r="F143" i="3"/>
  <c r="F140" i="3"/>
  <c r="D151" i="3"/>
  <c r="F169" i="3"/>
  <c r="E152" i="3"/>
  <c r="F151" i="3"/>
  <c r="F148" i="3"/>
  <c r="D146" i="3"/>
  <c r="D145" i="3"/>
  <c r="E144" i="3"/>
  <c r="F139" i="3"/>
  <c r="F138" i="3"/>
  <c r="F137" i="3"/>
  <c r="E136" i="3"/>
  <c r="F182" i="3"/>
  <c r="D182" i="3"/>
  <c r="E171" i="3"/>
  <c r="E182" i="3"/>
  <c r="E135" i="3"/>
  <c r="D140" i="3"/>
  <c r="D139" i="3"/>
  <c r="D138" i="3"/>
  <c r="E137" i="3"/>
  <c r="E147" i="3"/>
  <c r="E143" i="3"/>
  <c r="D142" i="3"/>
  <c r="E141" i="3"/>
  <c r="D136" i="3"/>
  <c r="E142" i="3"/>
  <c r="F141" i="3"/>
  <c r="J148" i="3"/>
  <c r="F227" i="3"/>
  <c r="F40" i="3" s="1"/>
  <c r="F229" i="3"/>
  <c r="F42" i="3" s="1"/>
  <c r="F231" i="3"/>
  <c r="F44" i="3" s="1"/>
  <c r="F233" i="3"/>
  <c r="F46" i="3" s="1"/>
  <c r="F234" i="3"/>
  <c r="F47" i="3" s="1"/>
  <c r="F228" i="3"/>
  <c r="F41" i="3" s="1"/>
  <c r="F230" i="3"/>
  <c r="F43" i="3" s="1"/>
  <c r="F232" i="3"/>
  <c r="F45" i="3" s="1"/>
  <c r="F239" i="3"/>
  <c r="F242" i="3"/>
  <c r="C242" i="3"/>
  <c r="C239" i="3"/>
  <c r="C240" i="3"/>
  <c r="C241" i="3"/>
  <c r="I40" i="3"/>
  <c r="B247" i="3"/>
  <c r="F240" i="3"/>
  <c r="F241" i="3"/>
  <c r="F248" i="3"/>
  <c r="I41" i="3"/>
  <c r="I42" i="3"/>
  <c r="B248" i="3"/>
  <c r="AR2" i="12"/>
  <c r="B253" i="3"/>
  <c r="F247" i="3"/>
  <c r="F259" i="3"/>
  <c r="F253" i="3"/>
  <c r="C247" i="3"/>
  <c r="B259" i="3"/>
  <c r="R40" i="3"/>
  <c r="I136" i="3"/>
  <c r="I135" i="3"/>
  <c r="F165" i="3"/>
  <c r="D165" i="3"/>
  <c r="F163" i="3"/>
  <c r="E159" i="3"/>
  <c r="F167" i="3"/>
  <c r="D168" i="3"/>
  <c r="E167" i="3"/>
  <c r="D167" i="3"/>
  <c r="D166" i="3"/>
  <c r="F168" i="3"/>
  <c r="F164" i="3"/>
  <c r="F179" i="3"/>
  <c r="E179" i="3"/>
  <c r="D179" i="3"/>
  <c r="F178" i="3"/>
  <c r="E178" i="3"/>
  <c r="D178" i="3"/>
  <c r="F177" i="3"/>
  <c r="D177" i="3"/>
  <c r="D176" i="3"/>
  <c r="F175" i="3"/>
  <c r="D175" i="3"/>
  <c r="E174" i="3"/>
  <c r="F173" i="3"/>
  <c r="D173" i="3"/>
  <c r="F145" i="3"/>
  <c r="F144" i="3"/>
  <c r="D143" i="3"/>
  <c r="F142" i="3"/>
  <c r="D137" i="3"/>
  <c r="L40" i="3"/>
  <c r="C253" i="3"/>
  <c r="G259" i="3"/>
  <c r="D16" i="11"/>
  <c r="D15" i="11"/>
  <c r="D14" i="11"/>
  <c r="D13" i="11"/>
  <c r="D12" i="11"/>
  <c r="J5" i="11"/>
  <c r="I181" i="3"/>
  <c r="I169" i="3"/>
  <c r="I167" i="3"/>
  <c r="I166" i="3"/>
  <c r="I162" i="3"/>
  <c r="I150" i="3"/>
  <c r="I148" i="3"/>
  <c r="I147" i="3"/>
  <c r="I139" i="3"/>
  <c r="I138" i="3"/>
  <c r="I170" i="3"/>
  <c r="I182" i="3"/>
  <c r="I165" i="3"/>
  <c r="I163" i="3"/>
  <c r="I157" i="3"/>
  <c r="I156" i="3"/>
  <c r="I153" i="3"/>
  <c r="I144" i="3"/>
  <c r="I164" i="3"/>
  <c r="I160" i="3"/>
  <c r="I159" i="3"/>
  <c r="I155" i="3"/>
  <c r="I152" i="3"/>
  <c r="I149" i="3"/>
  <c r="I146" i="3"/>
  <c r="I142" i="3"/>
  <c r="I180" i="3"/>
  <c r="I179" i="3"/>
  <c r="I178" i="3"/>
  <c r="I177" i="3"/>
  <c r="I176" i="3"/>
  <c r="I175" i="3"/>
  <c r="I174" i="3"/>
  <c r="I173" i="3"/>
  <c r="I172" i="3"/>
  <c r="I171" i="3"/>
  <c r="I168" i="3"/>
  <c r="I161" i="3"/>
  <c r="I158" i="3"/>
  <c r="I154" i="3"/>
  <c r="I151" i="3"/>
  <c r="I140" i="3"/>
  <c r="I145" i="3"/>
  <c r="I143" i="3"/>
  <c r="I137" i="3"/>
  <c r="I141" i="3"/>
  <c r="E181" i="3"/>
  <c r="D157" i="3"/>
  <c r="F156" i="3"/>
  <c r="D153" i="3"/>
  <c r="J153" i="3"/>
  <c r="D169" i="3"/>
  <c r="E168" i="3"/>
  <c r="F157" i="3"/>
  <c r="E166" i="3"/>
  <c r="E161" i="3"/>
  <c r="F158" i="3"/>
  <c r="D158" i="3"/>
  <c r="E156" i="3"/>
  <c r="F153" i="3"/>
  <c r="D152" i="3"/>
  <c r="E151" i="3"/>
  <c r="E177" i="3"/>
  <c r="F176" i="3"/>
  <c r="E176" i="3"/>
  <c r="E175" i="3"/>
  <c r="F174" i="3"/>
  <c r="D174" i="3"/>
  <c r="E173" i="3"/>
  <c r="AQ3" i="12"/>
  <c r="L41" i="3"/>
  <c r="C259" i="3"/>
  <c r="AS3" i="12"/>
  <c r="AT2" i="12"/>
  <c r="J167" i="3"/>
  <c r="K167" i="3"/>
  <c r="K148" i="3"/>
  <c r="D11" i="11"/>
  <c r="C155" i="3"/>
  <c r="J155" i="3"/>
  <c r="J172" i="3"/>
  <c r="C172" i="3"/>
  <c r="C162" i="3"/>
  <c r="J162" i="3"/>
  <c r="J179" i="3"/>
  <c r="C179" i="3"/>
  <c r="J180" i="3"/>
  <c r="C180" i="3"/>
  <c r="J163" i="3"/>
  <c r="J164" i="3"/>
  <c r="J154" i="3"/>
  <c r="C154" i="3"/>
  <c r="J150" i="3"/>
  <c r="C150" i="3"/>
  <c r="C149" i="3"/>
  <c r="J149" i="3"/>
  <c r="J170" i="3"/>
  <c r="C170" i="3"/>
  <c r="J160" i="3"/>
  <c r="C160" i="3"/>
  <c r="C146" i="3"/>
  <c r="J146" i="3"/>
  <c r="J145" i="3"/>
  <c r="J144" i="3"/>
  <c r="C182" i="3"/>
  <c r="J182" i="3"/>
  <c r="J141" i="3"/>
  <c r="C141" i="3"/>
  <c r="C135" i="3"/>
  <c r="J135" i="3"/>
  <c r="K135" i="3"/>
  <c r="J171" i="3"/>
  <c r="C171" i="3"/>
  <c r="C148" i="3"/>
  <c r="J140" i="3"/>
  <c r="C140" i="3"/>
  <c r="J139" i="3"/>
  <c r="C139" i="3"/>
  <c r="C138" i="3"/>
  <c r="J138" i="3"/>
  <c r="J136" i="3"/>
  <c r="K136" i="3"/>
  <c r="C136" i="3"/>
  <c r="J147" i="3"/>
  <c r="C147" i="3"/>
  <c r="J142" i="3"/>
  <c r="AP3" i="12"/>
  <c r="AS2" i="12"/>
  <c r="O40" i="3"/>
  <c r="B234" i="3"/>
  <c r="AL2" i="12"/>
  <c r="B239" i="3"/>
  <c r="AM2" i="12"/>
  <c r="B240" i="3"/>
  <c r="AN2" i="12"/>
  <c r="B241" i="3"/>
  <c r="AO2" i="12"/>
  <c r="B242" i="3"/>
  <c r="AP2" i="12"/>
  <c r="AM3" i="12"/>
  <c r="AQ2" i="12"/>
  <c r="AN3" i="12"/>
  <c r="AO3" i="12"/>
  <c r="I43" i="3"/>
  <c r="C248" i="3"/>
  <c r="AR3" i="12"/>
  <c r="G7" i="7"/>
  <c r="F8" i="7"/>
  <c r="F9" i="7"/>
  <c r="G24" i="7"/>
  <c r="G8" i="7"/>
  <c r="F25" i="7"/>
  <c r="F6" i="7"/>
  <c r="G6" i="7"/>
  <c r="F7" i="7"/>
  <c r="G9" i="7"/>
  <c r="F10" i="7"/>
  <c r="G10" i="7"/>
  <c r="F24" i="7"/>
  <c r="F11" i="7"/>
  <c r="G11" i="7"/>
  <c r="F20" i="7"/>
  <c r="G23" i="7"/>
  <c r="F12" i="7"/>
  <c r="G19" i="7"/>
  <c r="G20" i="7"/>
  <c r="G25" i="7"/>
  <c r="G12" i="7"/>
  <c r="F13" i="7"/>
  <c r="G13" i="7"/>
  <c r="F14" i="7"/>
  <c r="G14" i="7"/>
  <c r="G17" i="7"/>
  <c r="F19" i="7"/>
  <c r="G18" i="7"/>
  <c r="J159" i="3"/>
  <c r="C159" i="3"/>
  <c r="J166" i="3"/>
  <c r="J178" i="3"/>
  <c r="C178" i="3"/>
  <c r="C165" i="3"/>
  <c r="J165" i="3"/>
  <c r="C163" i="3"/>
  <c r="C164" i="3"/>
  <c r="C145" i="3"/>
  <c r="C144" i="3"/>
  <c r="J143" i="3"/>
  <c r="C143" i="3"/>
  <c r="C137" i="3"/>
  <c r="J137" i="3"/>
  <c r="C142" i="3"/>
  <c r="AT3" i="12"/>
  <c r="C167" i="3"/>
  <c r="R41" i="3"/>
  <c r="C157" i="3"/>
  <c r="J157" i="3"/>
  <c r="K157" i="3"/>
  <c r="J168" i="3"/>
  <c r="K168" i="3"/>
  <c r="C168" i="3"/>
  <c r="D15" i="8"/>
  <c r="E14" i="8"/>
  <c r="D14" i="8"/>
  <c r="E13" i="8"/>
  <c r="D13" i="8"/>
  <c r="E12" i="8"/>
  <c r="D11" i="8"/>
  <c r="E10" i="8"/>
  <c r="E9" i="8"/>
  <c r="E8" i="8"/>
  <c r="E7" i="8"/>
  <c r="E25" i="8"/>
  <c r="D22" i="8"/>
  <c r="D12" i="8"/>
  <c r="D10" i="8"/>
  <c r="D9" i="8"/>
  <c r="D8" i="8"/>
  <c r="D7" i="8"/>
  <c r="E6" i="8"/>
  <c r="E23" i="8"/>
  <c r="E21" i="8"/>
  <c r="D6" i="8"/>
  <c r="D24" i="8"/>
  <c r="D25" i="8"/>
  <c r="E24" i="8"/>
  <c r="D21" i="8"/>
  <c r="E22" i="8"/>
  <c r="E11" i="8"/>
  <c r="D23" i="8"/>
  <c r="E20" i="8"/>
  <c r="D20" i="8"/>
  <c r="E19" i="8"/>
  <c r="D19" i="8"/>
  <c r="E18" i="8"/>
  <c r="D18" i="8"/>
  <c r="E17" i="8"/>
  <c r="E15" i="8"/>
  <c r="D17" i="8"/>
  <c r="E16" i="8"/>
  <c r="D16" i="8"/>
  <c r="K166" i="3"/>
  <c r="K153" i="3"/>
  <c r="J161" i="3"/>
  <c r="K161" i="3"/>
  <c r="C161" i="3"/>
  <c r="K155" i="3"/>
  <c r="K172" i="3"/>
  <c r="K162" i="3"/>
  <c r="C156" i="3"/>
  <c r="J156" i="3"/>
  <c r="K156" i="3"/>
  <c r="C153" i="3"/>
  <c r="K179" i="3"/>
  <c r="K178" i="3"/>
  <c r="J177" i="3"/>
  <c r="K177" i="3"/>
  <c r="C177" i="3"/>
  <c r="J176" i="3"/>
  <c r="K176" i="3"/>
  <c r="C176" i="3"/>
  <c r="J175" i="3"/>
  <c r="K175" i="3"/>
  <c r="C175" i="3"/>
  <c r="J174" i="3"/>
  <c r="K174" i="3"/>
  <c r="C174" i="3"/>
  <c r="J173" i="3"/>
  <c r="K173" i="3"/>
  <c r="C173" i="3"/>
  <c r="J169" i="3"/>
  <c r="K169" i="3"/>
  <c r="J181" i="3"/>
  <c r="K181" i="3"/>
  <c r="K180" i="3"/>
  <c r="K165" i="3"/>
  <c r="K163" i="3"/>
  <c r="C166" i="3"/>
  <c r="K164" i="3"/>
  <c r="K154" i="3"/>
  <c r="C169" i="3"/>
  <c r="K146" i="3"/>
  <c r="C152" i="3"/>
  <c r="J151" i="3"/>
  <c r="K151" i="3"/>
  <c r="K141" i="3"/>
  <c r="K140" i="3"/>
  <c r="C151" i="3"/>
  <c r="K150" i="3"/>
  <c r="K149" i="3"/>
  <c r="C158" i="3"/>
  <c r="J158" i="3"/>
  <c r="K158" i="3"/>
  <c r="C181" i="3"/>
  <c r="K170" i="3"/>
  <c r="K160" i="3"/>
  <c r="K145" i="3"/>
  <c r="J152" i="3"/>
  <c r="K152" i="3"/>
  <c r="K144" i="3"/>
  <c r="K182" i="3"/>
  <c r="K171" i="3"/>
  <c r="K139" i="3"/>
  <c r="K138" i="3"/>
  <c r="K147" i="3"/>
  <c r="K143" i="3"/>
  <c r="K137" i="3"/>
  <c r="K142" i="3"/>
  <c r="K159" i="3"/>
  <c r="L152" i="3"/>
  <c r="M152" i="3" s="1" a="1"/>
  <c r="M152" i="3" s="1"/>
  <c r="L151" i="3"/>
  <c r="L154" i="3"/>
  <c r="L138" i="3"/>
  <c r="M138" i="3" s="1" a="1"/>
  <c r="M138" i="3" s="1"/>
  <c r="L137" i="3"/>
  <c r="L142" i="3"/>
  <c r="M142" i="3" s="1" a="1"/>
  <c r="M142" i="3" s="1"/>
  <c r="L141" i="3"/>
  <c r="M141" i="3" s="1" a="1"/>
  <c r="M141" i="3" s="1"/>
  <c r="L140" i="3"/>
  <c r="L139" i="3"/>
  <c r="L147" i="3"/>
  <c r="L150" i="3"/>
  <c r="M150" i="3" s="1" a="1"/>
  <c r="M150" i="3" s="1"/>
  <c r="L149" i="3"/>
  <c r="L148" i="3"/>
  <c r="M148" i="3" s="1" a="1"/>
  <c r="M148" i="3" s="1"/>
  <c r="L143" i="3"/>
  <c r="L146" i="3"/>
  <c r="L145" i="3"/>
  <c r="M145" i="3" s="1" a="1"/>
  <c r="M145" i="3" s="1"/>
  <c r="L144" i="3"/>
  <c r="M144" i="3" s="1" a="1"/>
  <c r="M144" i="3" s="1"/>
  <c r="L159" i="3"/>
  <c r="L162" i="3"/>
  <c r="M162" i="3" s="1" a="1"/>
  <c r="M162" i="3" s="1"/>
  <c r="L161" i="3"/>
  <c r="L160" i="3"/>
  <c r="M160" i="3" s="1" a="1"/>
  <c r="M160" i="3" s="1"/>
  <c r="E11" i="9"/>
  <c r="F9" i="9"/>
  <c r="F17" i="9"/>
  <c r="F21" i="9"/>
  <c r="F6" i="9"/>
  <c r="F16" i="9"/>
  <c r="E13" i="9"/>
  <c r="E19" i="9"/>
  <c r="E21" i="9"/>
  <c r="F14" i="9"/>
  <c r="F7" i="9"/>
  <c r="E16" i="9"/>
  <c r="F20" i="9"/>
  <c r="F8" i="9"/>
  <c r="F10" i="9"/>
  <c r="E17" i="9"/>
  <c r="E23" i="9"/>
  <c r="F18" i="9"/>
  <c r="F11" i="9"/>
  <c r="E25" i="9"/>
  <c r="F13" i="9"/>
  <c r="E18" i="9"/>
  <c r="E10" i="9"/>
  <c r="E8" i="9"/>
  <c r="F12" i="9"/>
  <c r="F23" i="9"/>
  <c r="E14" i="9"/>
  <c r="F22" i="9"/>
  <c r="F24" i="9"/>
  <c r="E12" i="9"/>
  <c r="E20" i="9"/>
  <c r="E6" i="9"/>
  <c r="F19" i="9"/>
  <c r="E22" i="9"/>
  <c r="E24" i="9"/>
  <c r="E9" i="9"/>
  <c r="E7" i="9"/>
  <c r="K9" i="6"/>
  <c r="J12" i="6"/>
  <c r="J22" i="6"/>
  <c r="K21" i="6"/>
  <c r="J21" i="6"/>
  <c r="K20" i="6"/>
  <c r="J20" i="6"/>
  <c r="K19" i="6"/>
  <c r="J19" i="6"/>
  <c r="K18" i="6"/>
  <c r="J18" i="6"/>
  <c r="K15" i="6"/>
  <c r="J15" i="6"/>
  <c r="K13" i="6"/>
  <c r="K12" i="6"/>
  <c r="K10" i="6"/>
  <c r="J10" i="6"/>
  <c r="K8" i="6"/>
  <c r="J8" i="6"/>
  <c r="K7" i="6"/>
  <c r="J7" i="6"/>
  <c r="J6" i="6"/>
  <c r="J13" i="6"/>
  <c r="J14" i="6"/>
  <c r="K11" i="6"/>
  <c r="K25" i="6"/>
  <c r="J25" i="6"/>
  <c r="K24" i="6"/>
  <c r="K6" i="6"/>
  <c r="J24" i="6"/>
  <c r="K23" i="6"/>
  <c r="J23" i="6"/>
  <c r="K22" i="6"/>
  <c r="K17" i="6"/>
  <c r="J17" i="6"/>
  <c r="K16" i="6"/>
  <c r="J16" i="6"/>
  <c r="J9" i="6"/>
  <c r="J11" i="6"/>
  <c r="K14" i="6"/>
  <c r="F22" i="7"/>
  <c r="G22" i="7"/>
  <c r="G21" i="7"/>
  <c r="F23" i="7"/>
  <c r="F21" i="7"/>
  <c r="F15" i="7"/>
  <c r="G15" i="7"/>
  <c r="F16" i="7"/>
  <c r="G16" i="7"/>
  <c r="F17" i="7"/>
  <c r="F18" i="7"/>
  <c r="L176" i="3"/>
  <c r="M176" i="3" s="1" a="1"/>
  <c r="M176" i="3" s="1"/>
  <c r="L175" i="3"/>
  <c r="L164" i="3"/>
  <c r="M164" i="3" s="1" a="1"/>
  <c r="M164" i="3" s="1"/>
  <c r="L166" i="3"/>
  <c r="L165" i="3"/>
  <c r="M165" i="3" s="1" a="1"/>
  <c r="M165" i="3" s="1"/>
  <c r="L163" i="3"/>
  <c r="L153" i="3"/>
  <c r="M153" i="3" s="1" a="1"/>
  <c r="M153" i="3" s="1"/>
  <c r="F15" i="9"/>
  <c r="F25" i="9"/>
  <c r="E15" i="9"/>
  <c r="B15" i="11"/>
  <c r="L167" i="3"/>
  <c r="L168" i="3"/>
  <c r="L169" i="3"/>
  <c r="M169" i="3" s="1" a="1"/>
  <c r="M169" i="3" s="1"/>
  <c r="L158" i="3"/>
  <c r="M158" i="3" s="1" a="1"/>
  <c r="M158" i="3" s="1"/>
  <c r="L156" i="3"/>
  <c r="M156" i="3" s="1" a="1"/>
  <c r="M156" i="3" s="1"/>
  <c r="L157" i="3"/>
  <c r="L155" i="3"/>
  <c r="L179" i="3"/>
  <c r="L182" i="3"/>
  <c r="M182" i="3" s="1" a="1"/>
  <c r="M182" i="3" s="1"/>
  <c r="L180" i="3"/>
  <c r="M180" i="3" s="1" a="1"/>
  <c r="M180" i="3" s="1"/>
  <c r="L178" i="3"/>
  <c r="L170" i="3"/>
  <c r="M170" i="3" s="1" a="1"/>
  <c r="M170" i="3" s="1"/>
  <c r="L181" i="3"/>
  <c r="L177" i="3"/>
  <c r="M177" i="3" s="1" a="1"/>
  <c r="M177" i="3" s="1"/>
  <c r="L136" i="3"/>
  <c r="M136" i="3" s="1" a="1"/>
  <c r="M136" i="3" s="1"/>
  <c r="L135" i="3"/>
  <c r="L171" i="3"/>
  <c r="L173" i="3"/>
  <c r="M173" i="3" s="1" a="1"/>
  <c r="M173" i="3" s="1"/>
  <c r="L172" i="3"/>
  <c r="L174" i="3"/>
  <c r="M174" i="3" s="1" a="1"/>
  <c r="M174" i="3" s="1"/>
  <c r="C13" i="11"/>
  <c r="C15" i="11"/>
  <c r="N167" i="3"/>
  <c r="F23" i="3"/>
  <c r="F20" i="3"/>
  <c r="F22" i="3"/>
  <c r="D20" i="3"/>
  <c r="C21" i="3"/>
  <c r="M37" i="1"/>
  <c r="J44" i="11"/>
  <c r="E20" i="3"/>
  <c r="C20" i="3"/>
  <c r="N156" i="3"/>
  <c r="N155" i="3"/>
  <c r="N14" i="3"/>
  <c r="L16" i="3"/>
  <c r="K15" i="3"/>
  <c r="L14" i="3"/>
  <c r="K14" i="3"/>
  <c r="K13" i="3"/>
  <c r="K16" i="3"/>
  <c r="L15" i="3"/>
  <c r="J14" i="3"/>
  <c r="M25" i="1"/>
  <c r="J32" i="11"/>
  <c r="J13" i="3"/>
  <c r="J16" i="3"/>
  <c r="M27" i="1"/>
  <c r="J34" i="11"/>
  <c r="J15" i="3"/>
  <c r="M26" i="1"/>
  <c r="J33" i="11"/>
  <c r="M13" i="3"/>
  <c r="M16" i="3"/>
  <c r="M15" i="3"/>
  <c r="M14" i="3"/>
  <c r="L13" i="3"/>
  <c r="N152" i="3"/>
  <c r="N151" i="3"/>
  <c r="D14" i="3"/>
  <c r="C13" i="3"/>
  <c r="C14" i="3"/>
  <c r="M21" i="1"/>
  <c r="J28" i="11"/>
  <c r="E13" i="3"/>
  <c r="F13" i="3"/>
  <c r="E14" i="3"/>
  <c r="F14" i="3"/>
  <c r="D13" i="3"/>
  <c r="N139" i="3"/>
  <c r="J6" i="3"/>
  <c r="L7" i="3"/>
  <c r="K8" i="3"/>
  <c r="K7" i="3"/>
  <c r="K6" i="3"/>
  <c r="J9" i="3"/>
  <c r="M11" i="1"/>
  <c r="J18" i="11"/>
  <c r="J8" i="3"/>
  <c r="M10" i="1"/>
  <c r="J17" i="11"/>
  <c r="M6" i="3"/>
  <c r="M9" i="3"/>
  <c r="L8" i="3"/>
  <c r="J7" i="3"/>
  <c r="M9" i="1"/>
  <c r="J16" i="11"/>
  <c r="L9" i="3"/>
  <c r="K9" i="3"/>
  <c r="M8" i="3"/>
  <c r="M7" i="3"/>
  <c r="L6" i="3"/>
  <c r="N147" i="3"/>
  <c r="Y9" i="3"/>
  <c r="X8" i="3"/>
  <c r="M18" i="1"/>
  <c r="J25" i="11"/>
  <c r="X7" i="3"/>
  <c r="M17" i="1"/>
  <c r="J24" i="11"/>
  <c r="AA7" i="3"/>
  <c r="Z6" i="3"/>
  <c r="Z9" i="3"/>
  <c r="Y8" i="3"/>
  <c r="Y6" i="3"/>
  <c r="AA9" i="3"/>
  <c r="Z8" i="3"/>
  <c r="Y7" i="3"/>
  <c r="AA8" i="3"/>
  <c r="X6" i="3"/>
  <c r="AA6" i="3"/>
  <c r="Z7" i="3"/>
  <c r="X9" i="3"/>
  <c r="M19" i="1"/>
  <c r="J26" i="11"/>
  <c r="AB6" i="3"/>
  <c r="N148" i="3"/>
  <c r="N143" i="3"/>
  <c r="S7" i="3"/>
  <c r="Q6" i="3"/>
  <c r="T9" i="3"/>
  <c r="S8" i="3"/>
  <c r="R7" i="3"/>
  <c r="R6" i="3"/>
  <c r="Q9" i="3"/>
  <c r="M15" i="1"/>
  <c r="J22" i="11"/>
  <c r="R9" i="3"/>
  <c r="Q8" i="3"/>
  <c r="M14" i="1"/>
  <c r="J21" i="11"/>
  <c r="S6" i="3"/>
  <c r="S9" i="3"/>
  <c r="T8" i="3"/>
  <c r="T7" i="3"/>
  <c r="T6" i="3"/>
  <c r="R8" i="3"/>
  <c r="Q7" i="3"/>
  <c r="M13" i="1"/>
  <c r="J20" i="11"/>
  <c r="N144" i="3"/>
  <c r="S15" i="3"/>
  <c r="R14" i="3"/>
  <c r="Q13" i="3"/>
  <c r="R16" i="3"/>
  <c r="Q15" i="3"/>
  <c r="M30" i="1"/>
  <c r="J37" i="11"/>
  <c r="R15" i="3"/>
  <c r="Q14" i="3"/>
  <c r="M29" i="1"/>
  <c r="J36" i="11"/>
  <c r="N159" i="3"/>
  <c r="Q16" i="3"/>
  <c r="M31" i="1"/>
  <c r="J38" i="11"/>
  <c r="T14" i="3"/>
  <c r="R13" i="3"/>
  <c r="T13" i="3"/>
  <c r="T16" i="3"/>
  <c r="T15" i="3"/>
  <c r="S14" i="3"/>
  <c r="S13" i="3"/>
  <c r="S16" i="3"/>
  <c r="N162" i="3"/>
  <c r="N160" i="3"/>
  <c r="U16" i="3"/>
  <c r="B13" i="11"/>
  <c r="C14" i="11"/>
  <c r="B14" i="11"/>
  <c r="N179" i="3"/>
  <c r="Y23" i="3"/>
  <c r="AA20" i="3"/>
  <c r="Z21" i="3"/>
  <c r="Y20" i="3"/>
  <c r="AA23" i="3"/>
  <c r="X23" i="3"/>
  <c r="M51" i="1"/>
  <c r="J58" i="11"/>
  <c r="AA22" i="3"/>
  <c r="AA21" i="3"/>
  <c r="Z20" i="3"/>
  <c r="Z23" i="3"/>
  <c r="Y22" i="3"/>
  <c r="X21" i="3"/>
  <c r="M49" i="1"/>
  <c r="J56" i="11"/>
  <c r="N176" i="3"/>
  <c r="N175" i="3"/>
  <c r="Q20" i="3"/>
  <c r="T20" i="3"/>
  <c r="R20" i="3"/>
  <c r="S20" i="3"/>
  <c r="R21" i="3"/>
  <c r="Q21" i="3"/>
  <c r="M45" i="1"/>
  <c r="J52" i="11"/>
  <c r="T21" i="3"/>
  <c r="N164" i="3"/>
  <c r="X16" i="3"/>
  <c r="M35" i="1"/>
  <c r="J42" i="11"/>
  <c r="Y16" i="3"/>
  <c r="AA13" i="3"/>
  <c r="Z16" i="3"/>
  <c r="D16" i="3"/>
  <c r="C16" i="3"/>
  <c r="M23" i="1"/>
  <c r="J30" i="11"/>
  <c r="F15" i="3"/>
  <c r="S21" i="3"/>
  <c r="Y15" i="3"/>
  <c r="X14" i="3"/>
  <c r="M33" i="1"/>
  <c r="J40" i="11"/>
  <c r="F16" i="3"/>
  <c r="D15" i="3"/>
  <c r="E15" i="3"/>
  <c r="AA14" i="3"/>
  <c r="Z13" i="3"/>
  <c r="AA16" i="3"/>
  <c r="N163" i="3"/>
  <c r="X15" i="3"/>
  <c r="M34" i="1"/>
  <c r="J41" i="11"/>
  <c r="Z15" i="3"/>
  <c r="Y14" i="3"/>
  <c r="AA15" i="3"/>
  <c r="Z14" i="3"/>
  <c r="X13" i="3"/>
  <c r="Y13" i="3"/>
  <c r="E16" i="3"/>
  <c r="C15" i="3"/>
  <c r="M22" i="1"/>
  <c r="J29" i="11"/>
  <c r="B16" i="11"/>
  <c r="C16" i="11"/>
  <c r="E22" i="3"/>
  <c r="D21" i="3"/>
  <c r="F21" i="3"/>
  <c r="D22" i="3"/>
  <c r="E23" i="3"/>
  <c r="E21" i="3"/>
  <c r="C22" i="3"/>
  <c r="M38" i="1"/>
  <c r="J45" i="11"/>
  <c r="C23" i="3"/>
  <c r="M39" i="1"/>
  <c r="J46" i="11"/>
  <c r="D23" i="3"/>
  <c r="N158" i="3"/>
  <c r="X22" i="3"/>
  <c r="M50" i="1"/>
  <c r="J57" i="11"/>
  <c r="Z22" i="3"/>
  <c r="Y21" i="3"/>
  <c r="X20" i="3"/>
  <c r="N180" i="3"/>
  <c r="T23" i="3"/>
  <c r="R23" i="3"/>
  <c r="S23" i="3"/>
  <c r="Q23" i="3"/>
  <c r="M47" i="1"/>
  <c r="J54" i="11"/>
  <c r="R22" i="3"/>
  <c r="T22" i="3"/>
  <c r="S22" i="3"/>
  <c r="Q22" i="3"/>
  <c r="M46" i="1"/>
  <c r="J53" i="11"/>
  <c r="G13" i="3"/>
  <c r="N153" i="3"/>
  <c r="G14" i="3"/>
  <c r="N135" i="3"/>
  <c r="C9" i="3"/>
  <c r="M7" i="1"/>
  <c r="J14" i="11"/>
  <c r="F9" i="3"/>
  <c r="D9" i="3"/>
  <c r="E9" i="3"/>
  <c r="E8" i="3"/>
  <c r="F8" i="3"/>
  <c r="C8" i="3"/>
  <c r="M6" i="1"/>
  <c r="J13" i="11"/>
  <c r="D8" i="3"/>
  <c r="E6" i="3"/>
  <c r="F6" i="3"/>
  <c r="C6" i="3"/>
  <c r="F7" i="3"/>
  <c r="C7" i="3"/>
  <c r="M5" i="1"/>
  <c r="J12" i="11"/>
  <c r="E7" i="3"/>
  <c r="D7" i="3"/>
  <c r="D6" i="3"/>
  <c r="N171" i="3"/>
  <c r="J22" i="3"/>
  <c r="M42" i="1"/>
  <c r="J49" i="11"/>
  <c r="L23" i="3"/>
  <c r="J21" i="3"/>
  <c r="M41" i="1"/>
  <c r="J48" i="11"/>
  <c r="M22" i="3"/>
  <c r="K21" i="3"/>
  <c r="M20" i="3"/>
  <c r="J23" i="3"/>
  <c r="M43" i="1"/>
  <c r="J50" i="11"/>
  <c r="K22" i="3"/>
  <c r="L21" i="3"/>
  <c r="M23" i="3"/>
  <c r="L22" i="3"/>
  <c r="K20" i="3"/>
  <c r="L20" i="3"/>
  <c r="K23" i="3"/>
  <c r="M21" i="3"/>
  <c r="J20" i="3"/>
  <c r="AB20" i="3"/>
  <c r="L44" i="11"/>
  <c r="K44" i="11"/>
  <c r="L45" i="11"/>
  <c r="K45" i="11"/>
  <c r="M36" i="1"/>
  <c r="J43" i="11"/>
  <c r="L46" i="11"/>
  <c r="K46" i="11"/>
  <c r="L32" i="11"/>
  <c r="K32" i="11"/>
  <c r="M24" i="1"/>
  <c r="J31" i="11"/>
  <c r="L34" i="11"/>
  <c r="K34" i="11"/>
  <c r="L33" i="11"/>
  <c r="K33" i="11"/>
  <c r="L58" i="11"/>
  <c r="K58" i="11"/>
  <c r="L56" i="11"/>
  <c r="K56" i="11"/>
  <c r="K57" i="11"/>
  <c r="L57" i="11"/>
  <c r="M44" i="1"/>
  <c r="J51" i="11"/>
  <c r="L52" i="11"/>
  <c r="K52" i="11"/>
  <c r="L42" i="11"/>
  <c r="K42" i="11"/>
  <c r="K40" i="11"/>
  <c r="L40" i="11"/>
  <c r="K41" i="11"/>
  <c r="L41" i="11"/>
  <c r="M32" i="1"/>
  <c r="J39" i="11"/>
  <c r="M20" i="1"/>
  <c r="J27" i="11"/>
  <c r="K28" i="11"/>
  <c r="L28" i="11"/>
  <c r="L30" i="11"/>
  <c r="K30" i="11"/>
  <c r="L29" i="11"/>
  <c r="K29" i="11"/>
  <c r="L14" i="11"/>
  <c r="K14" i="11"/>
  <c r="L13" i="11"/>
  <c r="K13" i="11"/>
  <c r="M4" i="1"/>
  <c r="J11" i="11"/>
  <c r="K12" i="11"/>
  <c r="L12" i="11"/>
  <c r="L49" i="11"/>
  <c r="K49" i="11"/>
  <c r="L48" i="11"/>
  <c r="K48" i="11"/>
  <c r="K50" i="11"/>
  <c r="L50" i="11"/>
  <c r="M40" i="1"/>
  <c r="J47" i="11"/>
  <c r="M8" i="1"/>
  <c r="J15" i="11"/>
  <c r="L18" i="11"/>
  <c r="K18" i="11"/>
  <c r="L17" i="11"/>
  <c r="K17" i="11"/>
  <c r="L16" i="11"/>
  <c r="K16" i="11"/>
  <c r="L25" i="11"/>
  <c r="K25" i="11"/>
  <c r="L24" i="11"/>
  <c r="K24" i="11"/>
  <c r="M16" i="1"/>
  <c r="J23" i="11"/>
  <c r="L26" i="11"/>
  <c r="K26" i="11"/>
  <c r="M12" i="1"/>
  <c r="J19" i="11"/>
  <c r="K22" i="11"/>
  <c r="L22" i="11"/>
  <c r="K21" i="11"/>
  <c r="L21" i="11"/>
  <c r="L20" i="11"/>
  <c r="K20" i="11"/>
  <c r="M28" i="1"/>
  <c r="J35" i="11"/>
  <c r="L37" i="11"/>
  <c r="K37" i="11"/>
  <c r="K36" i="11"/>
  <c r="L36" i="11"/>
  <c r="L38" i="11"/>
  <c r="K38" i="11"/>
  <c r="N13" i="3"/>
  <c r="G16" i="3"/>
  <c r="AB14" i="3"/>
  <c r="N165" i="3"/>
  <c r="AB16" i="3"/>
  <c r="G6" i="3"/>
  <c r="N142" i="3"/>
  <c r="N6" i="3" s="1"/>
  <c r="N7" i="3"/>
  <c r="N20" i="3"/>
  <c r="AB7" i="3"/>
  <c r="N150" i="3"/>
  <c r="U6" i="3"/>
  <c r="U9" i="3"/>
  <c r="U14" i="3"/>
  <c r="AB21" i="3"/>
  <c r="N136" i="3"/>
  <c r="G7" i="3"/>
  <c r="M48" i="1"/>
  <c r="J55" i="11"/>
  <c r="L54" i="11"/>
  <c r="K54" i="11"/>
  <c r="K53" i="11"/>
  <c r="L53" i="11"/>
  <c r="N170" i="3"/>
  <c r="G21" i="3" s="1"/>
  <c r="G20" i="3"/>
  <c r="N169" i="3"/>
  <c r="G23" i="3"/>
  <c r="N16" i="3"/>
  <c r="N182" i="3"/>
  <c r="AB23" i="3"/>
  <c r="U21" i="3"/>
  <c r="N177" i="3"/>
  <c r="AB13" i="3"/>
  <c r="N138" i="3"/>
  <c r="N174" i="3"/>
  <c r="N23" i="3"/>
  <c r="N141" i="3"/>
  <c r="N9" i="3"/>
  <c r="N173" i="3"/>
  <c r="N21" i="3"/>
  <c r="N145" i="3"/>
  <c r="U13" i="3"/>
  <c r="K43" i="11"/>
  <c r="L43" i="11"/>
  <c r="L31" i="11"/>
  <c r="K31" i="11"/>
  <c r="L51" i="11"/>
  <c r="K51" i="11"/>
  <c r="L39" i="11"/>
  <c r="K39" i="11"/>
  <c r="L27" i="11"/>
  <c r="K27" i="11"/>
  <c r="L11" i="11"/>
  <c r="K11" i="11"/>
  <c r="K47" i="11"/>
  <c r="L47" i="11"/>
  <c r="L15" i="11"/>
  <c r="K15" i="11"/>
  <c r="L23" i="11"/>
  <c r="K23" i="11"/>
  <c r="L19" i="11"/>
  <c r="K19" i="11"/>
  <c r="L35" i="11"/>
  <c r="K35" i="11"/>
  <c r="U7" i="3"/>
  <c r="AB9" i="3"/>
  <c r="K55" i="11"/>
  <c r="L55" i="11"/>
  <c r="G9" i="3"/>
  <c r="D5" i="11"/>
  <c r="A5" i="11"/>
  <c r="U23" i="3"/>
  <c r="U20" i="3"/>
  <c r="C55" i="3" l="1"/>
  <c r="C234" i="3"/>
  <c r="AL3" i="12" s="1"/>
  <c r="C52" i="3"/>
  <c r="B233" i="3"/>
  <c r="AK2" i="12" s="1"/>
  <c r="C53" i="3"/>
  <c r="C233" i="3"/>
  <c r="AK3" i="12" s="1"/>
  <c r="C44" i="3"/>
  <c r="B229" i="3"/>
  <c r="AG2" i="12" s="1"/>
  <c r="C45" i="3"/>
  <c r="C229" i="3"/>
  <c r="AG3" i="12" s="1"/>
  <c r="C46" i="3"/>
  <c r="B230" i="3"/>
  <c r="AH2" i="12" s="1"/>
  <c r="C47" i="3"/>
  <c r="C230" i="3"/>
  <c r="AH3" i="12" s="1"/>
  <c r="C51" i="3"/>
  <c r="C232" i="3"/>
  <c r="AJ3" i="12" s="1"/>
  <c r="O51" i="11" a="1"/>
  <c r="O51" i="11" s="1"/>
  <c r="O52" i="11" a="1"/>
  <c r="O52" i="11" s="1"/>
  <c r="O53" i="11" a="1"/>
  <c r="O53" i="11" s="1"/>
  <c r="O54" i="11" a="1"/>
  <c r="O54" i="11" s="1"/>
  <c r="O55" i="11" a="1"/>
  <c r="O55" i="11" s="1"/>
  <c r="O56" i="11" a="1"/>
  <c r="O56" i="11" s="1"/>
  <c r="O57" i="11" a="1"/>
  <c r="O57" i="11" s="1"/>
  <c r="O58" i="11" a="1"/>
  <c r="O58" i="11" s="1"/>
  <c r="O59" i="11" a="1"/>
  <c r="O59" i="11" s="1"/>
  <c r="O60" i="11" a="1"/>
  <c r="O60" i="11" s="1"/>
  <c r="O64" i="11" a="1"/>
  <c r="O64" i="11" s="1"/>
  <c r="O65" i="11" a="1"/>
  <c r="O65" i="11" s="1"/>
  <c r="O66" i="11" a="1"/>
  <c r="O66" i="11" s="1"/>
  <c r="O67" i="11" a="1"/>
  <c r="O67" i="11" s="1"/>
  <c r="O68" i="11" a="1"/>
  <c r="O68" i="11" s="1"/>
  <c r="O69" i="11" a="1"/>
  <c r="O69" i="11" s="1"/>
  <c r="O70" i="11" a="1"/>
  <c r="O70" i="11" s="1"/>
  <c r="O71" i="11" a="1"/>
  <c r="O71" i="11" s="1"/>
  <c r="O72" i="11" a="1"/>
  <c r="O72" i="11" s="1"/>
  <c r="O73" i="11" a="1"/>
  <c r="O73" i="11" s="1"/>
  <c r="O77" i="11" a="1"/>
  <c r="O77" i="11" s="1"/>
  <c r="O78" i="11" a="1"/>
  <c r="O78" i="11" s="1"/>
  <c r="O79" i="11" a="1"/>
  <c r="O79" i="11" s="1"/>
  <c r="O80" i="11" a="1"/>
  <c r="O80" i="11" s="1"/>
  <c r="O81" i="11" a="1"/>
  <c r="O81" i="11" s="1"/>
  <c r="O82" i="11" a="1"/>
  <c r="O82" i="11" s="1"/>
  <c r="O83" i="11" a="1"/>
  <c r="O83" i="11" s="1"/>
  <c r="O84" i="11" a="1"/>
  <c r="O84" i="11" s="1"/>
  <c r="O85" i="11" a="1"/>
  <c r="O85" i="11" s="1"/>
  <c r="O86" i="11" a="1"/>
  <c r="O86" i="11" s="1"/>
  <c r="O90" i="11" a="1"/>
  <c r="O90" i="11" s="1"/>
  <c r="O91" i="11" a="1"/>
  <c r="O91" i="11" s="1"/>
  <c r="O92" i="11" a="1"/>
  <c r="O92" i="11" s="1"/>
  <c r="O93" i="11" a="1"/>
  <c r="O93" i="11" s="1"/>
  <c r="O94" i="11" a="1"/>
  <c r="O94" i="11" s="1"/>
  <c r="O95" i="11" a="1"/>
  <c r="O95" i="11" s="1"/>
  <c r="O96" i="11" a="1"/>
  <c r="O96" i="11" s="1"/>
  <c r="O97" i="11" a="1"/>
  <c r="O97" i="11" s="1"/>
  <c r="O98" i="11" a="1"/>
  <c r="O98" i="11" s="1"/>
  <c r="O99" i="11" a="1"/>
  <c r="O99" i="11" s="1"/>
  <c r="M171" i="3" a="1"/>
  <c r="M171" i="3" s="1"/>
  <c r="C217" i="3"/>
  <c r="Y3" i="12" s="1"/>
  <c r="B221" i="3"/>
  <c r="AC2" i="12" s="1"/>
  <c r="M135" i="3" a="1"/>
  <c r="M135" i="3" s="1"/>
  <c r="B207" i="3"/>
  <c r="O2" i="12" s="1"/>
  <c r="B213" i="3"/>
  <c r="M179" i="3" a="1"/>
  <c r="M179" i="3" s="1"/>
  <c r="B214" i="3"/>
  <c r="V2" i="12" s="1"/>
  <c r="C218" i="3"/>
  <c r="Z3" i="12" s="1"/>
  <c r="M155" i="3" a="1"/>
  <c r="M155" i="3" s="1"/>
  <c r="C208" i="3"/>
  <c r="B210" i="3"/>
  <c r="R2" i="12" s="1"/>
  <c r="M167" i="3" a="1"/>
  <c r="M167" i="3" s="1"/>
  <c r="C211" i="3"/>
  <c r="F211" i="3" s="1"/>
  <c r="B212" i="3"/>
  <c r="M163" i="3" a="1"/>
  <c r="M163" i="3" s="1"/>
  <c r="B217" i="3"/>
  <c r="Y2" i="12" s="1"/>
  <c r="C221" i="3"/>
  <c r="M175" i="3" a="1"/>
  <c r="M175" i="3" s="1"/>
  <c r="B218" i="3"/>
  <c r="Z2" i="12" s="1"/>
  <c r="B222" i="3"/>
  <c r="AD2" i="12" s="1"/>
  <c r="M159" i="3" a="1"/>
  <c r="M159" i="3" s="1"/>
  <c r="B215" i="3"/>
  <c r="W2" i="12" s="1"/>
  <c r="C220" i="3"/>
  <c r="AB3" i="12" s="1"/>
  <c r="M143" i="3" a="1"/>
  <c r="M143" i="3" s="1"/>
  <c r="B208" i="3"/>
  <c r="C210" i="3"/>
  <c r="M147" i="3" a="1"/>
  <c r="M147" i="3" s="1"/>
  <c r="B216" i="3"/>
  <c r="X2" i="12" s="1"/>
  <c r="B220" i="3"/>
  <c r="AB2" i="12" s="1"/>
  <c r="M139" i="3" a="1"/>
  <c r="M139" i="3" s="1"/>
  <c r="C207" i="3"/>
  <c r="B219" i="3"/>
  <c r="AA2" i="12" s="1"/>
  <c r="M151" i="3" a="1"/>
  <c r="M151" i="3" s="1"/>
  <c r="B209" i="3"/>
  <c r="Q2" i="12" s="1"/>
  <c r="B211" i="3"/>
  <c r="S2" i="12" s="1"/>
  <c r="M172" i="3" a="1"/>
  <c r="M172" i="3" s="1"/>
  <c r="N172" i="3" s="1"/>
  <c r="N22" i="3" s="1"/>
  <c r="M181" i="3" a="1"/>
  <c r="M181" i="3" s="1"/>
  <c r="N181" i="3" s="1"/>
  <c r="AB22" i="3" s="1"/>
  <c r="M178" i="3" a="1"/>
  <c r="M178" i="3" s="1"/>
  <c r="N178" i="3" s="1"/>
  <c r="U22" i="3" s="1"/>
  <c r="M157" i="3" a="1"/>
  <c r="M157" i="3" s="1"/>
  <c r="N157" i="3" s="1"/>
  <c r="N15" i="3" s="1"/>
  <c r="M168" i="3" a="1"/>
  <c r="M168" i="3" s="1"/>
  <c r="N168" i="3" s="1"/>
  <c r="G22" i="3" s="1"/>
  <c r="M166" i="3" a="1"/>
  <c r="M166" i="3" s="1"/>
  <c r="N166" i="3" s="1"/>
  <c r="AB15" i="3" s="1"/>
  <c r="M161" i="3" a="1"/>
  <c r="M161" i="3" s="1"/>
  <c r="N161" i="3" s="1"/>
  <c r="U15" i="3" s="1"/>
  <c r="M146" i="3" a="1"/>
  <c r="M146" i="3" s="1"/>
  <c r="N146" i="3" s="1"/>
  <c r="U8" i="3" s="1"/>
  <c r="M149" i="3" a="1"/>
  <c r="M149" i="3" s="1"/>
  <c r="N149" i="3" s="1"/>
  <c r="AB8" i="3" s="1"/>
  <c r="M140" i="3" a="1"/>
  <c r="M140" i="3" s="1"/>
  <c r="N140" i="3" s="1"/>
  <c r="N8" i="3" s="1"/>
  <c r="M137" i="3" a="1"/>
  <c r="M137" i="3" s="1"/>
  <c r="M154" i="3" a="1"/>
  <c r="M154" i="3" s="1"/>
  <c r="N154" i="3" s="1"/>
  <c r="G15" i="3" s="1"/>
  <c r="R3" i="12" l="1"/>
  <c r="F210" i="3"/>
  <c r="T2" i="12"/>
  <c r="F212" i="3"/>
  <c r="C49" i="3"/>
  <c r="C231" i="3"/>
  <c r="AI3" i="12" s="1"/>
  <c r="U2" i="12"/>
  <c r="F213" i="3"/>
  <c r="O3" i="12"/>
  <c r="F207" i="3"/>
  <c r="P2" i="12"/>
  <c r="F208" i="3"/>
  <c r="Z21" i="4"/>
  <c r="AA22" i="4"/>
  <c r="AA23" i="4"/>
  <c r="AA24" i="4"/>
  <c r="AA25" i="4"/>
  <c r="AA6" i="4"/>
  <c r="AA7" i="4"/>
  <c r="Z8" i="4"/>
  <c r="AA9" i="4"/>
  <c r="AA10" i="4"/>
  <c r="Z20" i="4"/>
  <c r="AA20" i="4"/>
  <c r="AA21" i="4"/>
  <c r="Z22" i="4"/>
  <c r="Z23" i="4"/>
  <c r="Z24" i="4"/>
  <c r="Z25" i="4"/>
  <c r="Z6" i="4"/>
  <c r="Z7" i="4"/>
  <c r="AA8" i="4"/>
  <c r="Z9" i="4"/>
  <c r="Z10" i="4"/>
  <c r="Z11" i="4"/>
  <c r="AA11" i="4"/>
  <c r="AA19" i="4"/>
  <c r="Z19" i="4"/>
  <c r="AA18" i="4"/>
  <c r="Z18" i="4"/>
  <c r="AA17" i="4"/>
  <c r="Z17" i="4"/>
  <c r="AA16" i="4"/>
  <c r="Z16" i="4"/>
  <c r="AA15" i="4"/>
  <c r="Z15" i="4"/>
  <c r="AA14" i="4"/>
  <c r="Z14" i="4"/>
  <c r="AA13" i="4"/>
  <c r="Z13" i="4"/>
  <c r="AA12" i="4"/>
  <c r="Z12" i="4"/>
  <c r="N137" i="3"/>
  <c r="G8" i="3" s="1"/>
  <c r="B197" i="3"/>
  <c r="E196" i="3"/>
  <c r="D196" i="3"/>
  <c r="B196" i="3"/>
  <c r="G195" i="3"/>
  <c r="F196" i="3"/>
  <c r="C196" i="3"/>
  <c r="H195" i="3"/>
  <c r="F194" i="3"/>
  <c r="E194" i="3"/>
  <c r="D194" i="3"/>
  <c r="C194" i="3"/>
  <c r="B194" i="3"/>
  <c r="H193" i="3"/>
  <c r="G193" i="3"/>
  <c r="F193" i="3"/>
  <c r="E193" i="3"/>
  <c r="D193" i="3"/>
  <c r="C193" i="3"/>
  <c r="B193" i="3"/>
  <c r="H192" i="3"/>
  <c r="G192" i="3"/>
  <c r="F192" i="3"/>
  <c r="E192" i="3"/>
  <c r="D192" i="3"/>
  <c r="C192" i="3"/>
  <c r="B192" i="3"/>
  <c r="H191" i="3"/>
  <c r="G191" i="3"/>
  <c r="F191" i="3"/>
  <c r="E191" i="3"/>
  <c r="D191" i="3"/>
  <c r="C191" i="3"/>
  <c r="B191" i="3"/>
  <c r="H190" i="3"/>
  <c r="G190" i="3"/>
  <c r="F190" i="3"/>
  <c r="E190" i="3"/>
  <c r="D190" i="3"/>
  <c r="C190" i="3"/>
  <c r="B190" i="3"/>
  <c r="H201" i="3"/>
  <c r="G201" i="3"/>
  <c r="F201" i="3"/>
  <c r="E201" i="3"/>
  <c r="D201" i="3"/>
  <c r="C201" i="3"/>
  <c r="B201" i="3"/>
  <c r="H200" i="3"/>
  <c r="G200" i="3"/>
  <c r="F200" i="3"/>
  <c r="E200" i="3"/>
  <c r="D200" i="3"/>
  <c r="C200" i="3"/>
  <c r="B200" i="3"/>
  <c r="H199" i="3"/>
  <c r="G199" i="3"/>
  <c r="F199" i="3"/>
  <c r="E199" i="3"/>
  <c r="D199" i="3"/>
  <c r="C199" i="3"/>
  <c r="B199" i="3"/>
  <c r="H198" i="3"/>
  <c r="G198" i="3"/>
  <c r="F198" i="3"/>
  <c r="E198" i="3"/>
  <c r="D198" i="3"/>
  <c r="C198" i="3"/>
  <c r="B198" i="3"/>
  <c r="H197" i="3"/>
  <c r="G197" i="3"/>
  <c r="F197" i="3"/>
  <c r="E197" i="3"/>
  <c r="D197" i="3"/>
  <c r="C197" i="3"/>
  <c r="H196" i="3"/>
  <c r="G196" i="3"/>
  <c r="F195" i="3"/>
  <c r="E195" i="3"/>
  <c r="D195" i="3"/>
  <c r="C195" i="3"/>
  <c r="B195" i="3"/>
  <c r="H194" i="3"/>
  <c r="G194" i="3"/>
  <c r="L24" i="4"/>
  <c r="K24" i="4"/>
  <c r="L23" i="4"/>
  <c r="K23" i="4"/>
  <c r="L22" i="4"/>
  <c r="K22" i="4"/>
  <c r="L21" i="4"/>
  <c r="K13" i="4"/>
  <c r="L12" i="4"/>
  <c r="K12" i="4"/>
  <c r="K25" i="4"/>
  <c r="K19" i="4"/>
  <c r="L18" i="4"/>
  <c r="K18" i="4"/>
  <c r="L17" i="4"/>
  <c r="K17" i="4"/>
  <c r="L16" i="4"/>
  <c r="K16" i="4"/>
  <c r="L15" i="4"/>
  <c r="K15" i="4"/>
  <c r="L14" i="4"/>
  <c r="K14" i="4"/>
  <c r="L13" i="4"/>
  <c r="K21" i="4"/>
  <c r="L7" i="4"/>
  <c r="K20" i="4"/>
  <c r="L6" i="4"/>
  <c r="L10" i="4"/>
  <c r="K9" i="4"/>
  <c r="L20" i="4"/>
  <c r="L25" i="4"/>
  <c r="K11" i="4"/>
  <c r="L8" i="4"/>
  <c r="L19" i="4"/>
  <c r="K7" i="4"/>
  <c r="L11" i="4"/>
  <c r="L9" i="4"/>
  <c r="K6" i="4"/>
  <c r="K10" i="4"/>
  <c r="K8" i="4"/>
  <c r="U25" i="4"/>
  <c r="V25" i="4"/>
  <c r="V24" i="4"/>
  <c r="U24" i="4"/>
  <c r="V23" i="4"/>
  <c r="U23" i="4"/>
  <c r="V22" i="4"/>
  <c r="U22" i="4"/>
  <c r="V21" i="4"/>
  <c r="U21" i="4"/>
  <c r="V20" i="4"/>
  <c r="U20" i="4"/>
  <c r="V19" i="4"/>
  <c r="U19" i="4"/>
  <c r="V18" i="4"/>
  <c r="U18" i="4"/>
  <c r="V17" i="4"/>
  <c r="U17" i="4"/>
  <c r="V16" i="4"/>
  <c r="U16" i="4"/>
  <c r="V15" i="4"/>
  <c r="U15" i="4"/>
  <c r="V14" i="4"/>
  <c r="U14" i="4"/>
  <c r="V13" i="4"/>
  <c r="U13" i="4"/>
  <c r="V12" i="4"/>
  <c r="U12" i="4"/>
  <c r="V11" i="4"/>
  <c r="U11" i="4"/>
  <c r="V10" i="4"/>
  <c r="U10" i="4"/>
  <c r="V9" i="4"/>
  <c r="U9" i="4"/>
  <c r="V8" i="4"/>
  <c r="U8" i="4"/>
  <c r="V7" i="4"/>
  <c r="U7" i="4"/>
  <c r="V6" i="4"/>
  <c r="U6" i="4"/>
  <c r="P16" i="4"/>
  <c r="Q16" i="4"/>
  <c r="P17" i="4"/>
  <c r="Q17" i="4"/>
  <c r="P18" i="4"/>
  <c r="Q18" i="4"/>
  <c r="P19" i="4"/>
  <c r="Q19" i="4"/>
  <c r="P20" i="4"/>
  <c r="Q20" i="4"/>
  <c r="P21" i="4"/>
  <c r="Q21" i="4"/>
  <c r="P22" i="4"/>
  <c r="Q22" i="4"/>
  <c r="P23" i="4"/>
  <c r="Q23" i="4"/>
  <c r="P24" i="4"/>
  <c r="Q24" i="4"/>
  <c r="P25" i="4"/>
  <c r="Q25" i="4"/>
  <c r="P6" i="4"/>
  <c r="Q7" i="4"/>
  <c r="P8" i="4"/>
  <c r="Q6" i="4"/>
  <c r="P7" i="4"/>
  <c r="Q9" i="4"/>
  <c r="P9" i="4"/>
  <c r="Q8" i="4"/>
  <c r="P10" i="4"/>
  <c r="Q10" i="4"/>
  <c r="P11" i="4"/>
  <c r="Q11" i="4"/>
  <c r="P12" i="4"/>
  <c r="Q12" i="4"/>
  <c r="P13" i="4"/>
  <c r="Q13" i="4"/>
  <c r="P14" i="4"/>
  <c r="Q14" i="4"/>
  <c r="P15" i="4"/>
  <c r="Q15" i="4"/>
  <c r="AJ15" i="4"/>
  <c r="AK13" i="4"/>
  <c r="AK25" i="4"/>
  <c r="AJ25" i="4"/>
  <c r="AK23" i="4"/>
  <c r="AJ22" i="4"/>
  <c r="AJ17" i="4"/>
  <c r="AK15" i="4"/>
  <c r="AK12" i="4"/>
  <c r="AK8" i="4"/>
  <c r="AJ19" i="4"/>
  <c r="AJ10" i="4"/>
  <c r="AJ14" i="4"/>
  <c r="AK18" i="4"/>
  <c r="AJ24" i="4"/>
  <c r="AK11" i="4"/>
  <c r="AJ18" i="4"/>
  <c r="AJ23" i="4"/>
  <c r="AJ11" i="4"/>
  <c r="AK20" i="4"/>
  <c r="AK24" i="4"/>
  <c r="AJ9" i="4"/>
  <c r="AK16" i="4"/>
  <c r="AJ6" i="4"/>
  <c r="AJ7" i="4"/>
  <c r="AK7" i="4"/>
  <c r="AK6" i="4"/>
  <c r="AJ8" i="4"/>
  <c r="AK9" i="4"/>
  <c r="AK10" i="4"/>
  <c r="AJ12" i="4"/>
  <c r="AJ13" i="4"/>
  <c r="AK14" i="4"/>
  <c r="AJ16" i="4"/>
  <c r="AK17" i="4"/>
  <c r="AK19" i="4"/>
  <c r="AJ21" i="4"/>
  <c r="AK22" i="4"/>
  <c r="AJ20" i="4"/>
  <c r="AK21" i="4"/>
  <c r="AP21" i="4"/>
  <c r="AO21" i="4"/>
  <c r="AP20" i="4"/>
  <c r="AO20" i="4"/>
  <c r="AP19" i="4"/>
  <c r="AO19" i="4"/>
  <c r="AP18" i="4"/>
  <c r="AO18" i="4"/>
  <c r="AP15" i="4"/>
  <c r="AP16" i="4"/>
  <c r="AO16" i="4"/>
  <c r="AO6" i="4"/>
  <c r="AP25" i="4"/>
  <c r="AP9" i="4"/>
  <c r="AO9" i="4"/>
  <c r="AP8" i="4"/>
  <c r="AO8" i="4"/>
  <c r="AP7" i="4"/>
  <c r="AO7" i="4"/>
  <c r="AP6" i="4"/>
  <c r="AO23" i="4"/>
  <c r="AP23" i="4"/>
  <c r="AO24" i="4"/>
  <c r="AP24" i="4"/>
  <c r="AO25" i="4"/>
  <c r="AO22" i="4"/>
  <c r="AP22" i="4"/>
  <c r="AP14" i="4"/>
  <c r="AO13" i="4"/>
  <c r="AO12" i="4"/>
  <c r="AO11" i="4"/>
  <c r="AO14" i="4"/>
  <c r="AP11" i="4"/>
  <c r="AO10" i="4"/>
  <c r="AO15" i="4"/>
  <c r="AP13" i="4"/>
  <c r="AP12" i="4"/>
  <c r="AP10" i="4"/>
  <c r="AP17" i="4"/>
  <c r="AO17" i="4"/>
  <c r="AT15" i="4"/>
  <c r="AU11" i="4"/>
  <c r="AU9" i="4"/>
  <c r="AT7" i="4"/>
  <c r="AU25" i="4"/>
  <c r="AT16" i="4"/>
  <c r="AT13" i="4"/>
  <c r="AT11" i="4"/>
  <c r="AT8" i="4"/>
  <c r="AT6" i="4"/>
  <c r="AU14" i="4"/>
  <c r="AU12" i="4"/>
  <c r="AU10" i="4"/>
  <c r="AU8" i="4"/>
  <c r="AU6" i="4"/>
  <c r="AU13" i="4"/>
  <c r="AT9" i="4"/>
  <c r="AT14" i="4"/>
  <c r="AT12" i="4"/>
  <c r="AT10" i="4"/>
  <c r="AU7" i="4"/>
  <c r="AU15" i="4"/>
  <c r="AU16" i="4"/>
  <c r="AT17" i="4"/>
  <c r="AU17" i="4"/>
  <c r="AT18" i="4"/>
  <c r="AU18" i="4"/>
  <c r="AT19" i="4"/>
  <c r="AU19" i="4"/>
  <c r="AT20" i="4"/>
  <c r="AU20" i="4"/>
  <c r="AT21" i="4"/>
  <c r="AU21" i="4"/>
  <c r="AT22" i="4"/>
  <c r="AU22" i="4"/>
  <c r="AT23" i="4"/>
  <c r="AU23" i="4"/>
  <c r="AT24" i="4"/>
  <c r="AU24" i="4"/>
  <c r="AT25" i="4"/>
  <c r="AF25" i="4"/>
  <c r="AE25" i="4"/>
  <c r="AF24" i="4"/>
  <c r="AE24" i="4"/>
  <c r="AF23" i="4"/>
  <c r="AE23" i="4"/>
  <c r="AF22" i="4"/>
  <c r="AE22" i="4"/>
  <c r="AF21" i="4"/>
  <c r="AE21" i="4"/>
  <c r="AF20" i="4"/>
  <c r="AE20" i="4"/>
  <c r="AF19" i="4"/>
  <c r="AF14" i="4"/>
  <c r="AE14" i="4"/>
  <c r="AF13" i="4"/>
  <c r="AE13" i="4"/>
  <c r="AF12" i="4"/>
  <c r="AE12" i="4"/>
  <c r="AF11" i="4"/>
  <c r="AE11" i="4"/>
  <c r="AF10" i="4"/>
  <c r="AE10" i="4"/>
  <c r="AF9" i="4"/>
  <c r="AE9" i="4"/>
  <c r="AF8" i="4"/>
  <c r="AE8" i="4"/>
  <c r="AF7" i="4"/>
  <c r="AE7" i="4"/>
  <c r="AF6" i="4"/>
  <c r="AE6" i="4"/>
  <c r="AE19" i="4"/>
  <c r="AF18" i="4"/>
  <c r="AE18" i="4"/>
  <c r="AF17" i="4"/>
  <c r="AE17" i="4"/>
  <c r="AF16" i="4"/>
  <c r="AE16" i="4"/>
  <c r="AF15" i="4"/>
  <c r="AE15" i="4"/>
  <c r="BD11" i="4"/>
  <c r="BE11" i="4"/>
  <c r="BD12" i="4"/>
  <c r="BE12" i="4"/>
  <c r="BD13" i="4"/>
  <c r="BE13" i="4"/>
  <c r="BD14" i="4"/>
  <c r="BE14" i="4"/>
  <c r="BD15" i="4"/>
  <c r="BE15" i="4"/>
  <c r="BD16" i="4"/>
  <c r="BE16" i="4"/>
  <c r="BE23" i="4"/>
  <c r="BD24" i="4"/>
  <c r="BE24" i="4"/>
  <c r="BE7" i="4"/>
  <c r="BD7" i="4"/>
  <c r="BD6" i="4"/>
  <c r="BE6" i="4"/>
  <c r="BD8" i="4"/>
  <c r="BE8" i="4"/>
  <c r="BD9" i="4"/>
  <c r="BE9" i="4"/>
  <c r="BD10" i="4"/>
  <c r="BE10" i="4"/>
  <c r="BD17" i="4"/>
  <c r="BE17" i="4"/>
  <c r="BD18" i="4"/>
  <c r="BE18" i="4"/>
  <c r="BD19" i="4"/>
  <c r="BE19" i="4"/>
  <c r="BD20" i="4"/>
  <c r="BD25" i="4"/>
  <c r="BE25" i="4"/>
  <c r="BE20" i="4"/>
  <c r="BD21" i="4"/>
  <c r="BE21" i="4"/>
  <c r="BD22" i="4"/>
  <c r="BE22" i="4"/>
  <c r="BD23" i="4"/>
  <c r="BI6" i="4"/>
  <c r="BJ6" i="4"/>
  <c r="BJ24" i="4"/>
  <c r="BI24" i="4"/>
  <c r="BJ23" i="4"/>
  <c r="BI23" i="4"/>
  <c r="BJ22" i="4"/>
  <c r="BI22" i="4"/>
  <c r="BJ21" i="4"/>
  <c r="BJ15" i="4"/>
  <c r="BI25" i="4"/>
  <c r="BJ25" i="4"/>
  <c r="BI12" i="4"/>
  <c r="BJ11" i="4"/>
  <c r="BI11" i="4"/>
  <c r="BJ10" i="4"/>
  <c r="BI10" i="4"/>
  <c r="BJ9" i="4"/>
  <c r="BI19" i="4"/>
  <c r="BJ18" i="4"/>
  <c r="BI18" i="4"/>
  <c r="BJ17" i="4"/>
  <c r="BI17" i="4"/>
  <c r="BI21" i="4"/>
  <c r="BJ20" i="4"/>
  <c r="BI20" i="4"/>
  <c r="BJ19" i="4"/>
  <c r="BJ16" i="4"/>
  <c r="BI16" i="4"/>
  <c r="BJ14" i="4"/>
  <c r="BI9" i="4"/>
  <c r="BJ8" i="4"/>
  <c r="BI8" i="4"/>
  <c r="BJ7" i="4"/>
  <c r="BI7" i="4"/>
  <c r="BI15" i="4"/>
  <c r="BJ12" i="4"/>
  <c r="BI14" i="4"/>
  <c r="BI13" i="4"/>
  <c r="BJ13" i="4"/>
  <c r="AZ23" i="4"/>
  <c r="AZ21" i="4"/>
  <c r="AY16" i="4"/>
  <c r="AZ20" i="4"/>
  <c r="AY15" i="4"/>
  <c r="AZ13" i="4"/>
  <c r="AZ17" i="4"/>
  <c r="AZ19" i="4"/>
  <c r="AY22" i="4"/>
  <c r="AY8" i="4"/>
  <c r="AZ9" i="4"/>
  <c r="AZ10" i="4"/>
  <c r="AZ11" i="4"/>
  <c r="AZ14" i="4"/>
  <c r="AZ16" i="4"/>
  <c r="AY20" i="4"/>
  <c r="AY23" i="4"/>
  <c r="AZ6" i="4"/>
  <c r="AZ7" i="4"/>
  <c r="AZ8" i="4"/>
  <c r="AY9" i="4"/>
  <c r="AY10" i="4"/>
  <c r="AY11" i="4"/>
  <c r="AY12" i="4"/>
  <c r="AY14" i="4"/>
  <c r="AZ15" i="4"/>
  <c r="AY18" i="4"/>
  <c r="AY21" i="4"/>
  <c r="AY24" i="4"/>
  <c r="AY13" i="4"/>
  <c r="AZ22" i="4"/>
  <c r="AZ25" i="4"/>
  <c r="AY17" i="4"/>
  <c r="AY19" i="4"/>
  <c r="AY25" i="4"/>
  <c r="AZ12" i="4"/>
  <c r="AZ18" i="4"/>
  <c r="AZ24" i="4"/>
  <c r="AY6" i="4"/>
  <c r="AY7" i="4"/>
  <c r="C48" i="3" l="1"/>
  <c r="B231" i="3"/>
  <c r="AI2" i="12" s="1"/>
  <c r="C42" i="3"/>
  <c r="B228" i="3"/>
  <c r="C50" i="3"/>
  <c r="B232" i="3"/>
  <c r="AJ2" i="12" s="1"/>
  <c r="C41" i="3"/>
  <c r="C227" i="3"/>
  <c r="C43" i="3"/>
  <c r="C228" i="3"/>
  <c r="AF3" i="12" s="1"/>
  <c r="AF2" i="12"/>
  <c r="C219" i="3"/>
  <c r="AC3" i="12"/>
  <c r="C215" i="3"/>
  <c r="P3" i="12"/>
  <c r="C214" i="3"/>
  <c r="S3" i="12"/>
  <c r="C212" i="3"/>
  <c r="T3" i="12" s="1"/>
  <c r="C222" i="3"/>
  <c r="AD3" i="12" s="1"/>
  <c r="V3" i="12"/>
  <c r="C213" i="3"/>
  <c r="U3" i="12" s="1"/>
  <c r="W3" i="12"/>
  <c r="C216" i="3"/>
  <c r="X3" i="12" s="1"/>
  <c r="AA3" i="12"/>
  <c r="C209" i="3"/>
  <c r="F24" i="4"/>
  <c r="BK24" i="4" s="1"/>
  <c r="D24" i="10" s="1"/>
  <c r="G23" i="4"/>
  <c r="BL23" i="4" s="1"/>
  <c r="F23" i="4"/>
  <c r="BK23" i="4" s="1"/>
  <c r="D23" i="10" s="1"/>
  <c r="G22" i="4"/>
  <c r="BL22" i="4" s="1"/>
  <c r="F22" i="4"/>
  <c r="BK22" i="4" s="1"/>
  <c r="D22" i="10" s="1"/>
  <c r="G21" i="4"/>
  <c r="BL21" i="4" s="1"/>
  <c r="F21" i="4"/>
  <c r="BK21" i="4" s="1"/>
  <c r="D21" i="10" s="1"/>
  <c r="G20" i="4"/>
  <c r="BL20" i="4" s="1"/>
  <c r="F20" i="4"/>
  <c r="BK20" i="4" s="1"/>
  <c r="D20" i="10" s="1"/>
  <c r="G19" i="4"/>
  <c r="BL19" i="4" s="1"/>
  <c r="F19" i="4"/>
  <c r="BK19" i="4" s="1"/>
  <c r="D19" i="10" s="1"/>
  <c r="G18" i="4"/>
  <c r="BL18" i="4" s="1"/>
  <c r="F18" i="4"/>
  <c r="BK18" i="4" s="1"/>
  <c r="D18" i="10" s="1"/>
  <c r="G17" i="4"/>
  <c r="BL17" i="4" s="1"/>
  <c r="F17" i="4"/>
  <c r="BK17" i="4" s="1"/>
  <c r="D17" i="10" s="1"/>
  <c r="F11" i="4"/>
  <c r="BK11" i="4" s="1"/>
  <c r="D11" i="10" s="1"/>
  <c r="G15" i="4"/>
  <c r="BL15" i="4" s="1"/>
  <c r="G13" i="4"/>
  <c r="BL13" i="4" s="1"/>
  <c r="G11" i="4"/>
  <c r="BL11" i="4" s="1"/>
  <c r="G16" i="4"/>
  <c r="BL16" i="4" s="1"/>
  <c r="F15" i="4"/>
  <c r="BK15" i="4" s="1"/>
  <c r="D15" i="10" s="1"/>
  <c r="F14" i="4"/>
  <c r="BK14" i="4" s="1"/>
  <c r="D14" i="10" s="1"/>
  <c r="F12" i="4"/>
  <c r="BK12" i="4" s="1"/>
  <c r="D12" i="10" s="1"/>
  <c r="G14" i="4"/>
  <c r="BL14" i="4" s="1"/>
  <c r="G12" i="4"/>
  <c r="BL12" i="4" s="1"/>
  <c r="F16" i="4"/>
  <c r="BK16" i="4" s="1"/>
  <c r="D16" i="10" s="1"/>
  <c r="F13" i="4"/>
  <c r="BK13" i="4" s="1"/>
  <c r="D13" i="10" s="1"/>
  <c r="G25" i="4"/>
  <c r="BL25" i="4" s="1"/>
  <c r="F25" i="4"/>
  <c r="BK25" i="4" s="1"/>
  <c r="D25" i="10" s="1"/>
  <c r="F9" i="4"/>
  <c r="BK9" i="4" s="1"/>
  <c r="D9" i="10" s="1"/>
  <c r="G7" i="4"/>
  <c r="BL7" i="4" s="1"/>
  <c r="G6" i="4"/>
  <c r="BL6" i="4" s="1"/>
  <c r="G10" i="4"/>
  <c r="BL10" i="4" s="1"/>
  <c r="G9" i="4"/>
  <c r="BL9" i="4" s="1"/>
  <c r="F8" i="4"/>
  <c r="BK8" i="4" s="1"/>
  <c r="D8" i="10" s="1"/>
  <c r="F6" i="4"/>
  <c r="BK6" i="4" s="1"/>
  <c r="G24" i="4"/>
  <c r="BL24" i="4" s="1"/>
  <c r="F10" i="4"/>
  <c r="BK10" i="4" s="1"/>
  <c r="D10" i="10" s="1"/>
  <c r="G8" i="4"/>
  <c r="BL8" i="4" s="1"/>
  <c r="F7" i="4"/>
  <c r="BK7" i="4" s="1"/>
  <c r="D7" i="10" s="1"/>
  <c r="Q3" i="12" l="1"/>
  <c r="F209" i="3"/>
  <c r="O12" i="11" a="1"/>
  <c r="O12" i="11" s="1"/>
  <c r="O13" i="11" a="1"/>
  <c r="O13" i="11" s="1"/>
  <c r="O14" i="11" a="1"/>
  <c r="O14" i="11" s="1"/>
  <c r="O15" i="11" a="1"/>
  <c r="O15" i="11" s="1"/>
  <c r="O16" i="11" a="1"/>
  <c r="O16" i="11" s="1"/>
  <c r="O17" i="11" a="1"/>
  <c r="O17" i="11" s="1"/>
  <c r="O18" i="11" a="1"/>
  <c r="O18" i="11" s="1"/>
  <c r="O19" i="11" a="1"/>
  <c r="O19" i="11" s="1"/>
  <c r="O20" i="11" a="1"/>
  <c r="O20" i="11" s="1"/>
  <c r="O21" i="11" a="1"/>
  <c r="O21" i="11" s="1"/>
  <c r="D6" i="10"/>
  <c r="B11" i="11"/>
  <c r="C11" i="11"/>
  <c r="R6" i="5" l="1" a="1"/>
  <c r="R6" i="5" s="1"/>
  <c r="S6" i="5" a="1"/>
  <c r="S6" i="5" s="1"/>
  <c r="R7" i="5" a="1"/>
  <c r="R7" i="5" s="1"/>
  <c r="S7" i="5" a="1"/>
  <c r="S7" i="5" s="1"/>
  <c r="R8" i="5" a="1"/>
  <c r="R8" i="5" s="1"/>
  <c r="S8" i="5" a="1"/>
  <c r="S8" i="5" s="1"/>
  <c r="R9" i="5" a="1"/>
  <c r="R9" i="5" s="1"/>
  <c r="S9" i="5" a="1"/>
  <c r="S9" i="5" s="1"/>
  <c r="R10" i="5" a="1"/>
  <c r="R10" i="5" s="1"/>
  <c r="S10" i="5" a="1"/>
  <c r="S10" i="5" s="1"/>
  <c r="R11" i="5" a="1"/>
  <c r="R11" i="5" s="1"/>
  <c r="S11" i="5" a="1"/>
  <c r="S11" i="5" s="1"/>
  <c r="R12" i="5" a="1"/>
  <c r="R12" i="5" s="1"/>
  <c r="S12" i="5" a="1"/>
  <c r="S12" i="5" s="1"/>
  <c r="R13" i="5" a="1"/>
  <c r="R13" i="5" s="1"/>
  <c r="S13" i="5" a="1"/>
  <c r="S13" i="5" s="1"/>
  <c r="R14" i="5" a="1"/>
  <c r="R14" i="5" s="1"/>
  <c r="S14" i="5" a="1"/>
  <c r="S14" i="5" s="1"/>
  <c r="R15" i="5" a="1"/>
  <c r="R15" i="5" s="1"/>
  <c r="S15" i="5" a="1"/>
  <c r="S15" i="5" s="1"/>
  <c r="R16" i="5" a="1"/>
  <c r="R16" i="5" s="1"/>
  <c r="S16" i="5" a="1"/>
  <c r="S16" i="5" s="1"/>
  <c r="R17" i="5" a="1"/>
  <c r="R17" i="5" s="1"/>
  <c r="S17" i="5" a="1"/>
  <c r="S17" i="5" s="1"/>
  <c r="R18" i="5" a="1"/>
  <c r="R18" i="5" s="1"/>
  <c r="S18" i="5" a="1"/>
  <c r="S18" i="5" s="1"/>
  <c r="R19" i="5" a="1"/>
  <c r="R19" i="5" s="1"/>
  <c r="S19" i="5" a="1"/>
  <c r="S19" i="5" s="1"/>
  <c r="R20" i="5" a="1"/>
  <c r="R20" i="5" s="1"/>
  <c r="S20" i="5" a="1"/>
  <c r="S20" i="5" s="1"/>
  <c r="R21" i="5" a="1"/>
  <c r="R21" i="5" s="1"/>
  <c r="S21" i="5" a="1"/>
  <c r="S21" i="5" s="1"/>
  <c r="R22" i="5" a="1"/>
  <c r="R22" i="5" s="1"/>
  <c r="S22" i="5" a="1"/>
  <c r="S22" i="5" s="1"/>
  <c r="R23" i="5" a="1"/>
  <c r="R23" i="5" s="1"/>
  <c r="S23" i="5" a="1"/>
  <c r="S23" i="5" s="1"/>
  <c r="R24" i="5" a="1"/>
  <c r="R24" i="5" s="1"/>
  <c r="S24" i="5" a="1"/>
  <c r="S24" i="5" s="1"/>
  <c r="R25" i="5" a="1"/>
  <c r="R25" i="5" s="1"/>
  <c r="S25" i="5" a="1"/>
  <c r="S25" i="5" s="1"/>
  <c r="C40" i="3"/>
  <c r="B227" i="3"/>
  <c r="AE2" i="12" s="1"/>
  <c r="AE3" i="12"/>
  <c r="H20" i="10" l="1"/>
  <c r="H23" i="10"/>
  <c r="E23" i="10"/>
  <c r="G23" i="10" s="1"/>
  <c r="I23" i="10" s="1"/>
  <c r="E8" i="10"/>
  <c r="G8" i="10" s="1"/>
  <c r="H9" i="10"/>
  <c r="E11" i="10"/>
  <c r="G11" i="10" s="1"/>
  <c r="H12" i="10"/>
  <c r="E15" i="10"/>
  <c r="G15" i="10" s="1"/>
  <c r="E16" i="10"/>
  <c r="G16" i="10" s="1"/>
  <c r="H16" i="10"/>
  <c r="E17" i="10"/>
  <c r="G17" i="10" s="1"/>
  <c r="H17" i="10"/>
  <c r="E19" i="10"/>
  <c r="G19" i="10" s="1"/>
  <c r="H19" i="10"/>
  <c r="E21" i="10"/>
  <c r="G21" i="10" s="1"/>
  <c r="H21" i="10"/>
  <c r="E22" i="10"/>
  <c r="G22" i="10" s="1"/>
  <c r="H22" i="10"/>
  <c r="E24" i="10"/>
  <c r="G24" i="10" s="1"/>
  <c r="H24" i="10"/>
  <c r="E18" i="10"/>
  <c r="G18" i="10" s="1"/>
  <c r="H18" i="10"/>
  <c r="E14" i="10"/>
  <c r="G14" i="10" s="1"/>
  <c r="E25" i="10"/>
  <c r="G25" i="10" s="1"/>
  <c r="H7" i="10"/>
  <c r="E9" i="10"/>
  <c r="G9" i="10" s="1"/>
  <c r="I9" i="10" s="1"/>
  <c r="H10" i="10"/>
  <c r="E12" i="10"/>
  <c r="G12" i="10" s="1"/>
  <c r="I12" i="10" s="1"/>
  <c r="H13" i="10"/>
  <c r="H25" i="10"/>
  <c r="H14" i="10"/>
  <c r="E20" i="10"/>
  <c r="G20" i="10" s="1"/>
  <c r="I20" i="10" s="1"/>
  <c r="E7" i="10"/>
  <c r="G7" i="10" s="1"/>
  <c r="I7" i="10" s="1"/>
  <c r="H8" i="10"/>
  <c r="E10" i="10"/>
  <c r="G10" i="10" s="1"/>
  <c r="I10" i="10" s="1"/>
  <c r="H11" i="10"/>
  <c r="E13" i="10"/>
  <c r="G13" i="10" s="1"/>
  <c r="I13" i="10" s="1"/>
  <c r="H15" i="10"/>
  <c r="O25" i="11" l="1" a="1"/>
  <c r="O25" i="11" s="1"/>
  <c r="O26" i="11" a="1"/>
  <c r="O26" i="11" s="1"/>
  <c r="O27" i="11" a="1"/>
  <c r="O27" i="11" s="1"/>
  <c r="O28" i="11" a="1"/>
  <c r="O28" i="11" s="1"/>
  <c r="O29" i="11" a="1"/>
  <c r="O29" i="11" s="1"/>
  <c r="O30" i="11" a="1"/>
  <c r="O30" i="11" s="1"/>
  <c r="O31" i="11" a="1"/>
  <c r="O31" i="11" s="1"/>
  <c r="O32" i="11" a="1"/>
  <c r="O32" i="11" s="1"/>
  <c r="O33" i="11" a="1"/>
  <c r="O33" i="11" s="1"/>
  <c r="O34" i="11" a="1"/>
  <c r="O34" i="11" s="1"/>
  <c r="E6" i="10"/>
  <c r="G6" i="10" s="1"/>
  <c r="B12" i="11"/>
  <c r="O38" i="11" a="1"/>
  <c r="O38" i="11" s="1"/>
  <c r="O39" i="11" a="1"/>
  <c r="O39" i="11" s="1"/>
  <c r="O40" i="11" a="1"/>
  <c r="O40" i="11" s="1"/>
  <c r="O41" i="11" a="1"/>
  <c r="O41" i="11" s="1"/>
  <c r="O42" i="11" a="1"/>
  <c r="O42" i="11" s="1"/>
  <c r="O43" i="11" a="1"/>
  <c r="O43" i="11" s="1"/>
  <c r="O44" i="11" a="1"/>
  <c r="O44" i="11" s="1"/>
  <c r="O45" i="11" a="1"/>
  <c r="O45" i="11" s="1"/>
  <c r="O46" i="11" a="1"/>
  <c r="O46" i="11" s="1"/>
  <c r="O47" i="11" a="1"/>
  <c r="O47" i="11" s="1"/>
  <c r="I25" i="10"/>
  <c r="I14" i="10"/>
  <c r="I18" i="10"/>
  <c r="I24" i="10"/>
  <c r="I22" i="10"/>
  <c r="I21" i="10"/>
  <c r="I19" i="10"/>
  <c r="I17" i="10"/>
  <c r="I16" i="10"/>
  <c r="I15" i="10"/>
  <c r="I11" i="10"/>
  <c r="I8" i="10"/>
  <c r="C12" i="11"/>
  <c r="H6" i="10"/>
  <c r="G25" i="11" l="1" a="1"/>
  <c r="G25" i="11" s="1"/>
  <c r="G26" i="11" a="1"/>
  <c r="G26" i="11" s="1"/>
  <c r="G27" i="11" a="1"/>
  <c r="G27" i="11" s="1"/>
  <c r="G28" i="11" a="1"/>
  <c r="G28" i="11" s="1"/>
  <c r="G29" i="11" a="1"/>
  <c r="G29" i="11" s="1"/>
  <c r="G30" i="11" a="1"/>
  <c r="G30" i="11" s="1"/>
  <c r="G31" i="11" a="1"/>
  <c r="G31" i="11" s="1"/>
  <c r="G32" i="11" a="1"/>
  <c r="G32" i="11" s="1"/>
  <c r="G33" i="11" a="1"/>
  <c r="G33" i="11" s="1"/>
  <c r="G34" i="11" a="1"/>
  <c r="G34" i="11" s="1"/>
  <c r="I6" i="10"/>
  <c r="G5" i="11"/>
  <c r="G17" i="11" l="1"/>
  <c r="G19" i="11"/>
  <c r="F17" i="11"/>
  <c r="A6" i="10"/>
  <c r="G11" i="11"/>
  <c r="G15" i="11"/>
  <c r="F18" i="11"/>
  <c r="F20" i="11"/>
  <c r="F19" i="11"/>
  <c r="F11" i="11"/>
  <c r="F12" i="11"/>
  <c r="G16" i="11"/>
  <c r="F16" i="11"/>
  <c r="F14" i="11"/>
  <c r="G13" i="11"/>
  <c r="G20" i="11"/>
  <c r="F15" i="11"/>
  <c r="G18" i="11"/>
  <c r="G12" i="11"/>
  <c r="G14" i="11"/>
  <c r="F13" i="11"/>
  <c r="A7" i="10"/>
  <c r="A10" i="10"/>
  <c r="A13" i="10"/>
  <c r="A20" i="10"/>
  <c r="A23" i="10"/>
  <c r="A12" i="10"/>
  <c r="A9" i="10"/>
  <c r="A8" i="10"/>
  <c r="A11" i="10"/>
  <c r="A15" i="10"/>
  <c r="A16" i="10"/>
  <c r="A17" i="10"/>
  <c r="A19" i="10"/>
  <c r="A21" i="10"/>
  <c r="A22" i="10"/>
  <c r="A24" i="10"/>
  <c r="A18" i="10"/>
  <c r="A14" i="10"/>
  <c r="A25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<sst xmlns="http://schemas.openxmlformats.org/spreadsheetml/2006/main" count="1696" uniqueCount="349">
  <si>
    <t>FIFA World Cup 2026 Prediction Game Workbook</t>
  </si>
  <si>
    <t>Scoring item</t>
  </si>
  <si>
    <t>Points</t>
  </si>
  <si>
    <t>Team lookup for dropdowns</t>
  </si>
  <si>
    <t>Yes/No list</t>
  </si>
  <si>
    <t>Ready-to-use workbook structure for a private friends' pool. Update the official team names first, then collect predictions round by round.</t>
  </si>
  <si>
    <t>Group exact 1st place</t>
  </si>
  <si>
    <t>Yes</t>
  </si>
  <si>
    <t>Group exact 2nd place</t>
  </si>
  <si>
    <t>No</t>
  </si>
  <si>
    <t>Game overview</t>
  </si>
  <si>
    <t>Group wrong-order top 2</t>
  </si>
  <si>
    <t>1</t>
  </si>
  <si>
    <t>Official format</t>
  </si>
  <si>
    <t>48 teams</t>
  </si>
  <si>
    <t>12 groups of 4</t>
  </si>
  <si>
    <t>Top 2 in each group + 8 best third-placed teams advance to the Round of 32.</t>
  </si>
  <si>
    <t>Group qualified 3rd-place team</t>
  </si>
  <si>
    <t>2</t>
  </si>
  <si>
    <t>Workflow</t>
  </si>
  <si>
    <t>Group stage first</t>
  </si>
  <si>
    <t>Then knockout rounds</t>
  </si>
  <si>
    <t>Players enter predictions round by round; the workbook scores automatically after results are filled in.</t>
  </si>
  <si>
    <t>Group exact top-2 bonus</t>
  </si>
  <si>
    <t>3</t>
  </si>
  <si>
    <t>Scoring</t>
  </si>
  <si>
    <t>Group stage + knockout</t>
  </si>
  <si>
    <t>Leaderboards + dashboard</t>
  </si>
  <si>
    <t>Edit the point values in the scoring table at right if you want to tweak the game.</t>
  </si>
  <si>
    <t>Group full top-3 bonus</t>
  </si>
  <si>
    <t>Round of 32 correct winner</t>
  </si>
  <si>
    <t>Round of 16 correct winner</t>
  </si>
  <si>
    <t>References and notes</t>
  </si>
  <si>
    <t>Quarter-final correct winner</t>
  </si>
  <si>
    <t>FIFA official format</t>
  </si>
  <si>
    <t>48 teams, 12 groups of 4, 8 best third-placed teams</t>
  </si>
  <si>
    <t>Use the same structure in the workbook.</t>
  </si>
  <si>
    <t>Semi-final correct winner</t>
  </si>
  <si>
    <t>User reference</t>
  </si>
  <si>
    <t>Wikipedia page shared in the prompt</t>
  </si>
  <si>
    <t>Kept as a note for convenience.</t>
  </si>
  <si>
    <t>Final correct runner-up</t>
  </si>
  <si>
    <t>Champion bonus</t>
  </si>
  <si>
    <t>How to use</t>
  </si>
  <si>
    <t>Third-place match winner</t>
  </si>
  <si>
    <t>Update official team names</t>
  </si>
  <si>
    <t>Replace the placeholder teams in Official Results first.</t>
  </si>
  <si>
    <t>Enter player names</t>
  </si>
  <si>
    <t>Use the Players sheet for up to 20 participants.</t>
  </si>
  <si>
    <t>Collect predictions</t>
  </si>
  <si>
    <t>Fill each round sheet after the tournament reaches that stage.</t>
  </si>
  <si>
    <t>4</t>
  </si>
  <si>
    <t>Add actual results</t>
  </si>
  <si>
    <t>Enter standings and winners on Official Results; scores update automatically.</t>
  </si>
  <si>
    <t>Players and entry order</t>
  </si>
  <si>
    <t>Edit player names here. The workbook supports up to 20 players.</t>
  </si>
  <si>
    <t>Entry Order</t>
  </si>
  <si>
    <t>Player Name</t>
  </si>
  <si>
    <t>Starting Points</t>
  </si>
  <si>
    <t>Active</t>
  </si>
  <si>
    <t>Notes</t>
  </si>
  <si>
    <t>Febby Yudhi Pratama</t>
  </si>
  <si>
    <t>Fathan Mauludin</t>
  </si>
  <si>
    <t>M Fakhri Auladana</t>
  </si>
  <si>
    <t>Muhammad Naufal Aiman</t>
  </si>
  <si>
    <t>Ahade</t>
  </si>
  <si>
    <t>Aldy</t>
  </si>
  <si>
    <t>Affaninho</t>
  </si>
  <si>
    <t>Aji</t>
  </si>
  <si>
    <t>Dausman</t>
  </si>
  <si>
    <t>Wawa</t>
  </si>
  <si>
    <t>Player 11</t>
  </si>
  <si>
    <t>Player 12</t>
  </si>
  <si>
    <t>Player 13</t>
  </si>
  <si>
    <t>Player 14</t>
  </si>
  <si>
    <t>Player 15</t>
  </si>
  <si>
    <t>Player 16</t>
  </si>
  <si>
    <t>Player 17</t>
  </si>
  <si>
    <t>Player 18</t>
  </si>
  <si>
    <t>Player 19</t>
  </si>
  <si>
    <t>Player 20</t>
  </si>
  <si>
    <t>Official Results (admin input)</t>
  </si>
  <si>
    <t>Group A</t>
  </si>
  <si>
    <t>Group B</t>
  </si>
  <si>
    <t>Group C</t>
  </si>
  <si>
    <t>Group D</t>
  </si>
  <si>
    <t>Enter match scores in the fixtures table below. Only the yellow score cells are editable; standings update automatically.</t>
  </si>
  <si>
    <t>Pos</t>
  </si>
  <si>
    <t>Team</t>
  </si>
  <si>
    <t>Pts</t>
  </si>
  <si>
    <t>GD</t>
  </si>
  <si>
    <t>GF</t>
  </si>
  <si>
    <t>Qualified?</t>
  </si>
  <si>
    <t>Group stage standings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</si>
  <si>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</si>
  <si>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</si>
  <si>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</si>
  <si>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</si>
  <si>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</si>
  <si>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</si>
  <si>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</si>
  <si>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</si>
  <si>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Knockout results</t>
  </si>
  <si>
    <t>Round of 32</t>
  </si>
  <si>
    <t>Round of 16</t>
  </si>
  <si>
    <t>Quarter-finals</t>
  </si>
  <si>
    <t>Semi-finals</t>
  </si>
  <si>
    <t>Third-place match</t>
  </si>
  <si>
    <t>Final</t>
  </si>
  <si>
    <t>Match</t>
  </si>
  <si>
    <t>Winner</t>
  </si>
  <si>
    <t>Result</t>
  </si>
  <si>
    <t>Germany / Paraguay</t>
  </si>
  <si>
    <t>Paraguay / France</t>
  </si>
  <si>
    <t>Quarter-final Match 1</t>
  </si>
  <si>
    <t>Semi-final Match 1</t>
  </si>
  <si>
    <t>Third-place Match</t>
  </si>
  <si>
    <t>Champion</t>
  </si>
  <si>
    <t>France / Sweden</t>
  </si>
  <si>
    <t>Canada / Morocco</t>
  </si>
  <si>
    <t>Quarter-final Match 2</t>
  </si>
  <si>
    <t>Semi-final Match 2</t>
  </si>
  <si>
    <t>Runner-up</t>
  </si>
  <si>
    <t>South Africa / Canada</t>
  </si>
  <si>
    <t>Portugal-Croatia / Spain-Austria</t>
  </si>
  <si>
    <t>Quarter-final Match 3</t>
  </si>
  <si>
    <t>Netherlands / Morocco</t>
  </si>
  <si>
    <t>USA-Bosnia / Belgium-Senegal</t>
  </si>
  <si>
    <t>Quarter-final Match 4</t>
  </si>
  <si>
    <t>Portugal / Croatia</t>
  </si>
  <si>
    <t>Brazil / Norway</t>
  </si>
  <si>
    <t>Spain / Austria</t>
  </si>
  <si>
    <t>Mexico / England-Congo DR</t>
  </si>
  <si>
    <t>USA / Bosnia and Herzegovina</t>
  </si>
  <si>
    <t>Argentina-Cabo Verde / Australia-Egypt</t>
  </si>
  <si>
    <t>Belgium / Senegal</t>
  </si>
  <si>
    <t>Switzerland-Algeria / Colombia-Ghana</t>
  </si>
  <si>
    <t>Brazil / Japan</t>
  </si>
  <si>
    <t>Côte d'Ivoire / Norway</t>
  </si>
  <si>
    <t>Mexico / Ecuador</t>
  </si>
  <si>
    <t>England / Congo DR</t>
  </si>
  <si>
    <t>Argentina / Cabo Verde</t>
  </si>
  <si>
    <t>Australia / Egypt</t>
  </si>
  <si>
    <t>Switzerland / Algeria</t>
  </si>
  <si>
    <t>Colombia / Ghana</t>
  </si>
  <si>
    <t>Group Stage Fixtures - enter scores only in Score 1 / Score 2</t>
  </si>
  <si>
    <t>Group</t>
  </si>
  <si>
    <t>Matchday</t>
  </si>
  <si>
    <t>Team 1</t>
  </si>
  <si>
    <t>Team 2</t>
  </si>
  <si>
    <t>Score 1</t>
  </si>
  <si>
    <t>Score 2</t>
  </si>
  <si>
    <t>T1 Pts</t>
  </si>
  <si>
    <t>T2 Pts</t>
  </si>
  <si>
    <t>A</t>
  </si>
  <si>
    <t>MD1</t>
  </si>
  <si>
    <t>Match 1</t>
  </si>
  <si>
    <t>Mexico</t>
  </si>
  <si>
    <t>South Africa</t>
  </si>
  <si>
    <t>Match 2</t>
  </si>
  <si>
    <t>Korea Republic</t>
  </si>
  <si>
    <t>Czechia</t>
  </si>
  <si>
    <t>MD2</t>
  </si>
  <si>
    <t>Match 3</t>
  </si>
  <si>
    <t>Match 4</t>
  </si>
  <si>
    <t>MD3</t>
  </si>
  <si>
    <t>Match 5</t>
  </si>
  <si>
    <t>Match 6</t>
  </si>
  <si>
    <t>B</t>
  </si>
  <si>
    <t>Canada</t>
  </si>
  <si>
    <t>Bosnia and Herzegovina</t>
  </si>
  <si>
    <t>Qatar</t>
  </si>
  <si>
    <t>Switzerland</t>
  </si>
  <si>
    <t>C</t>
  </si>
  <si>
    <t>Brazil</t>
  </si>
  <si>
    <t>Haiti</t>
  </si>
  <si>
    <t>Morocco</t>
  </si>
  <si>
    <t>Scotland</t>
  </si>
  <si>
    <t>D</t>
  </si>
  <si>
    <t>United States</t>
  </si>
  <si>
    <t>Australia</t>
  </si>
  <si>
    <t>Paraguay</t>
  </si>
  <si>
    <t>Türkiye</t>
  </si>
  <si>
    <t>E</t>
  </si>
  <si>
    <t>Germany</t>
  </si>
  <si>
    <t>Curaçao</t>
  </si>
  <si>
    <t>Côte d'Ivoire</t>
  </si>
  <si>
    <t>Ecuador</t>
  </si>
  <si>
    <t>F</t>
  </si>
  <si>
    <t>Netherlands</t>
  </si>
  <si>
    <t>Japan</t>
  </si>
  <si>
    <t>Sweden</t>
  </si>
  <si>
    <t>Tunisia</t>
  </si>
  <si>
    <t>G</t>
  </si>
  <si>
    <t>Belgium</t>
  </si>
  <si>
    <t>Egypt</t>
  </si>
  <si>
    <t>IR Iran</t>
  </si>
  <si>
    <t>New Zealand</t>
  </si>
  <si>
    <t>H</t>
  </si>
  <si>
    <t>Spain</t>
  </si>
  <si>
    <t>Cabo Verde</t>
  </si>
  <si>
    <t>Saudi Arabia</t>
  </si>
  <si>
    <t>Uruguay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</si>
  <si>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</si>
  <si>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</si>
  <si>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</si>
  <si>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</si>
  <si>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</si>
  <si>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</si>
  <si>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</si>
  <si>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</si>
  <si>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</si>
  <si>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</si>
  <si>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</si>
  <si>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Colombia</t>
  </si>
  <si>
    <t>Portugal</t>
  </si>
  <si>
    <t>Uzbekistan</t>
  </si>
  <si>
    <t>Congo DR</t>
  </si>
  <si>
    <t>L</t>
  </si>
  <si>
    <t>England</t>
  </si>
  <si>
    <t>Croatia</t>
  </si>
  <si>
    <t>Ghana</t>
  </si>
  <si>
    <t>Panama</t>
  </si>
  <si>
    <t>Detailed Group Standings - W, D, L, GF, GA, GD, points, and qualification status</t>
  </si>
  <si>
    <t>Pld</t>
  </si>
  <si>
    <t>W</t>
  </si>
  <si>
    <t>GA</t>
  </si>
  <si>
    <t>SortKey</t>
  </si>
  <si>
    <t>Rank</t>
  </si>
  <si>
    <t>ThirdRank</t>
  </si>
  <si>
    <t>Third-place ranking (best 8 qualify)</t>
  </si>
  <si>
    <t>Sort Key</t>
  </si>
  <si>
    <t>Pen 1</t>
  </si>
  <si>
    <t>Pen 2</t>
  </si>
  <si>
    <t>M73</t>
  </si>
  <si>
    <t>M76</t>
  </si>
  <si>
    <t>M74</t>
  </si>
  <si>
    <t>M75</t>
  </si>
  <si>
    <t>M78</t>
  </si>
  <si>
    <t>M77</t>
  </si>
  <si>
    <t>M79</t>
  </si>
  <si>
    <t>M80</t>
  </si>
  <si>
    <t>M82</t>
  </si>
  <si>
    <t>M81</t>
  </si>
  <si>
    <t>M84</t>
  </si>
  <si>
    <t>M83</t>
  </si>
  <si>
    <t>M85</t>
  </si>
  <si>
    <t>M88</t>
  </si>
  <si>
    <t>M86</t>
  </si>
  <si>
    <t>M87</t>
  </si>
  <si>
    <t>R16 1</t>
  </si>
  <si>
    <t>R16 2</t>
  </si>
  <si>
    <t>R16 3</t>
  </si>
  <si>
    <t>R16 4</t>
  </si>
  <si>
    <t>R16 5</t>
  </si>
  <si>
    <t>R16 6</t>
  </si>
  <si>
    <t>R16 7</t>
  </si>
  <si>
    <t>R16 8</t>
  </si>
  <si>
    <t>QF 1</t>
  </si>
  <si>
    <t>QF 2</t>
  </si>
  <si>
    <t>QF 3</t>
  </si>
  <si>
    <t>QF 4</t>
  </si>
  <si>
    <t>SF 1</t>
  </si>
  <si>
    <t>SF 2</t>
  </si>
  <si>
    <t>Third-place</t>
  </si>
  <si>
    <t>Group Stage Predictions</t>
  </si>
  <si>
    <t>Enter predicted 1st, 2nd, and advancing 3rd-place teams for each group. Use the drop-down team list.</t>
  </si>
  <si>
    <t>Player</t>
  </si>
  <si>
    <t>1st</t>
  </si>
  <si>
    <t>2nd</t>
  </si>
  <si>
    <t>3rd</t>
  </si>
  <si>
    <t>Corr</t>
  </si>
  <si>
    <t>Group Pts</t>
  </si>
  <si>
    <t>Group Corr</t>
  </si>
  <si>
    <t>Completion %</t>
  </si>
  <si>
    <t>Round of 32 Predictions</t>
  </si>
  <si>
    <t>Enter the 16 predicted winners for this round after the bracket is known.</t>
  </si>
  <si>
    <t>Round Pts</t>
  </si>
  <si>
    <t>Correct</t>
  </si>
  <si>
    <t>Round of 16 Predictions</t>
  </si>
  <si>
    <t>Enter the 8 predicted winners for this round after the bracket is known.</t>
  </si>
  <si>
    <t>Quarter-finals Predictions</t>
  </si>
  <si>
    <t>Enter the 4 predicted winners for this round after the bracket is known.</t>
  </si>
  <si>
    <t>Semi-finals Predictions</t>
  </si>
  <si>
    <t>Enter the 2 predicted winners for this round after the bracket is known.</t>
  </si>
  <si>
    <t>Final Predictions</t>
  </si>
  <si>
    <t>Predict the champion, runner-up, and optional third-place winner at the end of the tournament.</t>
  </si>
  <si>
    <t>Final Pts</t>
  </si>
  <si>
    <t>Leaderboard</t>
  </si>
  <si>
    <t>Automated ranking with tie-breaks: total points, correct predictions, starting points, then entry order.</t>
  </si>
  <si>
    <t>Group Points</t>
  </si>
  <si>
    <t>Knockout Points</t>
  </si>
  <si>
    <t>Total Points</t>
  </si>
  <si>
    <t>Total Correct</t>
  </si>
  <si>
    <t>AllTeams</t>
  </si>
  <si>
    <t>KO_R32_M73</t>
  </si>
  <si>
    <t>KO_R32_M74</t>
  </si>
  <si>
    <t>KO_R32_M75</t>
  </si>
  <si>
    <t>KO_R32_M76</t>
  </si>
  <si>
    <t>KO_R32_M77</t>
  </si>
  <si>
    <t>KO_R32_M78</t>
  </si>
  <si>
    <t>KO_R32_M79</t>
  </si>
  <si>
    <t>KO_R32_M80</t>
  </si>
  <si>
    <t>KO_R32_M81</t>
  </si>
  <si>
    <t>KO_R32_M82</t>
  </si>
  <si>
    <t>KO_R32_M83</t>
  </si>
  <si>
    <t>KO_R32_M84</t>
  </si>
  <si>
    <t>KO_R32_M85</t>
  </si>
  <si>
    <t>KO_R32_M86</t>
  </si>
  <si>
    <t>KO_R32_M87</t>
  </si>
  <si>
    <t>KO_R32_M88</t>
  </si>
  <si>
    <t>KO_R16_1</t>
  </si>
  <si>
    <t>KO_R16_2</t>
  </si>
  <si>
    <t>KO_R16_3</t>
  </si>
  <si>
    <t>KO_R16_4</t>
  </si>
  <si>
    <t>KO_R16_5</t>
  </si>
  <si>
    <t>KO_R16_6</t>
  </si>
  <si>
    <t>KO_R16_7</t>
  </si>
  <si>
    <t>KO_R16_8</t>
  </si>
  <si>
    <t>KO_QF_1</t>
  </si>
  <si>
    <t>KO_QF_2</t>
  </si>
  <si>
    <t>KO_QF_3</t>
  </si>
  <si>
    <t>KO_QF_4</t>
  </si>
  <si>
    <t>KO_SF_1</t>
  </si>
  <si>
    <t>KO_SF_2</t>
  </si>
  <si>
    <t>KO_Final</t>
  </si>
  <si>
    <t>KO_Third</t>
  </si>
  <si>
    <t>Statistics Dashboard</t>
  </si>
  <si>
    <t>Live summary of selections, scores, and round-by-round performance.</t>
  </si>
  <si>
    <t>Most selected champion</t>
  </si>
  <si>
    <t>Most selected finalist</t>
  </si>
  <si>
    <t>Top total score</t>
  </si>
  <si>
    <t>Average completion</t>
  </si>
  <si>
    <t>Round</t>
  </si>
  <si>
    <t>Avg Points</t>
  </si>
  <si>
    <t>Avg Correct</t>
  </si>
  <si>
    <t>Avg Completion</t>
  </si>
  <si>
    <t>Top 10 players</t>
  </si>
  <si>
    <t>Champion Picks</t>
  </si>
  <si>
    <t>Finalist Picks</t>
  </si>
  <si>
    <t>Group Stage Points</t>
  </si>
  <si>
    <t>Group Stage</t>
  </si>
  <si>
    <t>Top 10 Total Points - Alphabetical Tie-break</t>
  </si>
  <si>
    <t>Knockout Stage Points</t>
  </si>
  <si>
    <t>Round of 32 Points</t>
  </si>
  <si>
    <t>Round of 16 Points</t>
  </si>
  <si>
    <t>Quarter-finals Points</t>
  </si>
  <si>
    <t>Semi-finals Points</t>
  </si>
  <si>
    <t>Final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</si>
</sst>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3">
    <font>
      <sz val="10"/>
      <name val="Arial"/>
      <family val="2"/>
    </font>
    <font>
      <sz val="11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i/>
      <sz val="11"/>
      <color rgb="FF6B7280"/>
      <name val="Calibri"/>
      <family val="2"/>
    </font>
    <font>
      <sz val="10"/>
      <color rgb="FF111827"/>
      <name val="Calibri"/>
      <family val="2"/>
    </font>
    <font>
      <b/>
      <sz val="10"/>
      <color rgb="FF111827"/>
      <name val="Calibri"/>
      <family val="2"/>
    </font>
    <font>
      <b/>
      <sz val="11"/>
      <color rgb="FF1F2937"/>
      <name val="Cambria"/>
      <family val="1"/>
    </font>
    <font>
      <b/>
      <sz val="11"/>
      <color rgb="FFFFFFFF"/>
      <name val="Cambria"/>
      <family val="1"/>
    </font>
    <font>
      <sz val="11"/>
      <color rgb="FF111827"/>
      <name val="Calibri"/>
      <family val="2"/>
    </font>
    <font>
      <b/>
      <sz val="12"/>
      <color rgb="FFFFFFFF"/>
      <name val="Arial"/>
      <family val="2"/>
    </font>
    <font>
      <sz val="11"/>
      <color rgb="FF111827"/>
      <name val="Calibri"/>
    </font>
    <font>
      <b/>
      <sz val="11"/>
      <color rgb="FFFFFFFF"/>
      <name val="Calibri"/>
    </font>
    <font>
      <b/>
      <sz val="24"/>
      <color rgb="FF1F4E79"/>
      <name val="Calibri"/>
      <family val="2"/>
    </font>
    <font>
      <b/>
      <sz val="24"/>
      <color rgb="FF1F4E79"/>
      <name val="Arial"/>
      <family val="2"/>
    </font>
    <font>
      <i/>
      <sz val="11"/>
      <color rgb="FF5B5B5B"/>
      <name val="Calibri"/>
      <family val="2"/>
    </font>
    <font>
      <i/>
      <sz val="11"/>
      <color rgb="FF5B5B5B"/>
      <name val="Arial"/>
      <family val="2"/>
    </font>
    <font>
      <b/>
      <sz val="10"/>
      <color rgb="FF404040"/>
      <name val="Calibri"/>
      <family val="2"/>
    </font>
    <font>
      <b/>
      <sz val="10"/>
      <color rgb="FF404040"/>
      <name val="Arial"/>
      <family val="2"/>
    </font>
    <font>
      <b/>
      <sz val="20"/>
      <color rgb="FF2E7D32"/>
      <name val="Calibri"/>
      <family val="2"/>
    </font>
    <font>
      <b/>
      <sz val="20"/>
      <color rgb="FF2E7D32"/>
      <name val="Arial"/>
      <family val="2"/>
    </font>
    <font>
      <b/>
      <sz val="20"/>
      <color rgb="FF1565C0"/>
      <name val="Calibri"/>
      <family val="2"/>
    </font>
    <font>
      <b/>
      <sz val="20"/>
      <color rgb="FF1565C0"/>
      <name val="Arial"/>
      <family val="2"/>
    </font>
    <font>
      <b/>
      <sz val="20"/>
      <color rgb="FFE65100"/>
      <name val="Calibri"/>
      <family val="2"/>
    </font>
    <font>
      <b/>
      <sz val="20"/>
      <color rgb="FFE65100"/>
      <name val="Arial"/>
      <family val="2"/>
    </font>
    <font>
      <b/>
      <sz val="20"/>
      <color rgb="FF6A1B9A"/>
      <name val="Calibri"/>
      <family val="2"/>
    </font>
    <font>
      <b/>
      <sz val="20"/>
      <color rgb="FF6A1B9A"/>
      <name val="Arial"/>
      <family val="2"/>
    </font>
    <font>
      <b/>
      <sz val="10"/>
      <color rgb="FFFFFFFF"/>
      <name val="Calibri"/>
    </font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Calibri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0B1F3A"/>
        <bgColor rgb="FF0F2747"/>
      </patternFill>
    </fill>
    <fill>
      <patternFill patternType="solid">
        <fgColor rgb="FF7C3AED"/>
        <bgColor rgb="FF993366"/>
      </patternFill>
    </fill>
    <fill>
      <patternFill patternType="solid">
        <fgColor rgb="FF0F766E"/>
        <bgColor rgb="FF156082"/>
      </patternFill>
    </fill>
    <fill>
      <patternFill patternType="solid">
        <fgColor rgb="FFF8FAFC"/>
        <bgColor rgb="FFFFFFFF"/>
      </patternFill>
    </fill>
    <fill>
      <patternFill patternType="solid">
        <fgColor rgb="FFB45309"/>
        <bgColor rgb="FF993366"/>
      </patternFill>
    </fill>
    <fill>
      <patternFill patternType="solid">
        <fgColor rgb="FFFFFBEB"/>
        <bgColor rgb="FFFFF7ED"/>
      </patternFill>
    </fill>
    <fill>
      <patternFill patternType="solid">
        <fgColor rgb="FF1D4ED8"/>
        <bgColor rgb="FF2563EB"/>
      </patternFill>
    </fill>
    <fill>
      <patternFill patternType="solid">
        <fgColor rgb="FFECFDF5"/>
        <bgColor rgb="FFE9F7EF"/>
      </patternFill>
    </fill>
    <fill>
      <patternFill patternType="solid">
        <fgColor rgb="FF2563EB"/>
        <bgColor rgb="FF1D4ED8"/>
      </patternFill>
    </fill>
    <fill>
      <patternFill patternType="solid">
        <fgColor rgb="FF0F2747"/>
        <bgColor rgb="FF0B1F3A"/>
      </patternFill>
    </fill>
    <fill>
      <patternFill patternType="solid">
        <fgColor rgb="FF123B66"/>
        <bgColor rgb="FF0F2747"/>
      </patternFill>
    </fill>
    <fill>
      <patternFill patternType="solid">
        <fgColor rgb="FFFFF3C4"/>
        <bgColor rgb="FFFEF3C7"/>
      </patternFill>
    </fill>
    <fill>
      <patternFill patternType="solid">
        <fgColor rgb="FFF3F4F6"/>
        <bgColor rgb="FFEFF6FF"/>
      </patternFill>
    </fill>
    <fill>
      <patternFill patternType="solid">
        <fgColor rgb="FFEFF6FF"/>
        <bgColor rgb="FFF3F4F6"/>
      </patternFill>
    </fill>
    <fill>
      <patternFill patternType="solid">
        <fgColor rgb="FFFEF3C7"/>
        <bgColor rgb="FFFFF3C4"/>
      </patternFill>
    </fill>
    <fill>
      <patternFill patternType="solid">
        <fgColor rgb="FFDCFCE7"/>
        <bgColor rgb="FFE9F7EF"/>
      </patternFill>
    </fill>
    <fill>
      <patternFill patternType="solid">
        <fgColor rgb="FFF3E8FF"/>
        <bgColor rgb="FFF3F4F6"/>
      </patternFill>
    </fill>
    <fill>
      <patternFill patternType="solid">
        <fgColor rgb="FFFFF7ED"/>
        <bgColor rgb="FFFFFBEB"/>
      </patternFill>
    </fill>
    <fill>
      <patternFill patternType="solid">
        <fgColor rgb="FF0B1F3F"/>
      </patternFill>
    </fill>
    <fill>
      <patternFill patternType="solid">
        <fgColor rgb="FFFFF2CC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E7CC1"/>
        <bgColor indexed="64"/>
      </patternFill>
    </fill>
    <fill>
      <patternFill patternType="solid">
        <fgColor rgb="FFEDE7F6"/>
        <bgColor indexed="64"/>
      </patternFill>
    </fill>
  </fills>
  <borders count="27">
    <border>
      <left/>
      <right/>
      <top/>
      <bottom/>
      <diagonal/>
    </border>
    <border>
      <left style="thin">
        <color rgb="FF0B1F3A"/>
      </left>
      <right style="thin">
        <color rgb="FF0B1F3A"/>
      </right>
      <top style="thin">
        <color rgb="FF0B1F3A"/>
      </top>
      <bottom style="thin">
        <color rgb="FF0B1F3A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/>
      <top style="thin">
        <color rgb="FF0B1F3A"/>
      </top>
      <bottom/>
      <diagonal/>
    </border>
    <border>
      <left/>
      <right style="thin">
        <color rgb="FF0B1F3A"/>
      </right>
      <top style="thin">
        <color rgb="FF0B1F3A"/>
      </top>
      <bottom/>
      <diagonal/>
    </border>
    <border>
      <left style="thin">
        <color rgb="FF0B1F3A"/>
      </left>
      <right/>
      <top/>
      <bottom style="thin">
        <color rgb="FF0B1F3A"/>
      </bottom>
      <diagonal/>
    </border>
    <border>
      <left/>
      <right/>
      <top/>
      <bottom style="thin">
        <color rgb="FF0B1F3A"/>
      </bottom>
      <diagonal/>
    </border>
    <border>
      <left/>
      <right style="thin">
        <color rgb="FF0B1F3A"/>
      </right>
      <top/>
      <bottom style="thin">
        <color rgb="FF0B1F3A"/>
      </bottom>
      <diagonal/>
    </border>
    <border>
      <left style="thin">
        <color rgb="FFB7C0D0"/>
      </left>
      <right style="thin">
        <color rgb="FFB7C0D0"/>
      </right>
      <top style="thin">
        <color rgb="FFB7C0D0"/>
      </top>
      <bottom style="thin">
        <color rgb="FFB7C0D0"/>
      </bottom>
      <diagonal/>
    </border>
    <border>
      <left/>
      <right/>
      <top style="thin">
        <color rgb="FFB7C0D0"/>
      </top>
      <bottom style="thin">
        <color rgb="FFB7C0D0"/>
      </bottom>
      <diagonal/>
    </border>
    <border>
      <left/>
      <right style="thin">
        <color rgb="FFB7C0D0"/>
      </right>
      <top style="thin">
        <color rgb="FFB7C0D0"/>
      </top>
      <bottom style="thin">
        <color rgb="FFB7C0D0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1" fontId="5" fillId="0" borderId="6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7" borderId="13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7" borderId="15" xfId="0" applyFont="1" applyFill="1" applyBorder="1" applyAlignment="1">
      <alignment horizontal="left" vertical="center" wrapText="1"/>
    </xf>
    <xf numFmtId="0" fontId="5" fillId="7" borderId="16" xfId="0" applyFont="1" applyFill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 wrapText="1"/>
    </xf>
    <xf numFmtId="1" fontId="5" fillId="0" borderId="16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/>
    </xf>
    <xf numFmtId="1" fontId="6" fillId="4" borderId="4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9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14" borderId="4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left" vertical="center"/>
    </xf>
    <xf numFmtId="1" fontId="1" fillId="5" borderId="2" xfId="0" applyNumberFormat="1" applyFont="1" applyFill="1" applyBorder="1" applyAlignment="1">
      <alignment horizontal="center" vertical="center"/>
    </xf>
    <xf numFmtId="1" fontId="1" fillId="5" borderId="3" xfId="0" applyNumberFormat="1" applyFont="1" applyFill="1" applyBorder="1" applyAlignment="1">
      <alignment horizontal="center" vertical="center"/>
    </xf>
    <xf numFmtId="1" fontId="1" fillId="9" borderId="2" xfId="0" applyNumberFormat="1" applyFont="1" applyFill="1" applyBorder="1" applyAlignment="1">
      <alignment horizontal="center" vertical="center"/>
    </xf>
    <xf numFmtId="1" fontId="1" fillId="9" borderId="12" xfId="0" applyNumberFormat="1" applyFont="1" applyFill="1" applyBorder="1" applyAlignment="1">
      <alignment horizontal="center" vertical="center"/>
    </xf>
    <xf numFmtId="164" fontId="1" fillId="9" borderId="3" xfId="0" applyNumberFormat="1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1" fontId="1" fillId="15" borderId="12" xfId="0" applyNumberFormat="1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 vertical="center"/>
    </xf>
    <xf numFmtId="1" fontId="1" fillId="16" borderId="12" xfId="0" applyNumberFormat="1" applyFont="1" applyFill="1" applyBorder="1" applyAlignment="1">
      <alignment horizontal="center" vertical="center"/>
    </xf>
    <xf numFmtId="1" fontId="1" fillId="17" borderId="12" xfId="0" applyNumberFormat="1" applyFont="1" applyFill="1" applyBorder="1" applyAlignment="1">
      <alignment horizontal="center" vertical="center"/>
    </xf>
    <xf numFmtId="1" fontId="1" fillId="18" borderId="12" xfId="0" applyNumberFormat="1" applyFon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5" borderId="5" xfId="0" applyFont="1" applyFill="1" applyBorder="1" applyAlignment="1">
      <alignment horizontal="left" vertical="center"/>
    </xf>
    <xf numFmtId="0" fontId="1" fillId="5" borderId="8" xfId="0" applyFont="1" applyFill="1" applyBorder="1" applyAlignment="1">
      <alignment horizontal="left" vertical="center"/>
    </xf>
    <xf numFmtId="0" fontId="1" fillId="5" borderId="14" xfId="0" applyFont="1" applyFill="1" applyBorder="1" applyAlignment="1">
      <alignment horizontal="left" vertical="center"/>
    </xf>
    <xf numFmtId="0" fontId="5" fillId="0" borderId="13" xfId="0" applyFont="1" applyBorder="1" applyAlignment="1" applyProtection="1">
      <alignment horizontal="left" vertical="center" wrapText="1"/>
      <protection locked="0"/>
    </xf>
    <xf numFmtId="1" fontId="5" fillId="0" borderId="13" xfId="0" applyNumberFormat="1" applyFont="1" applyBorder="1" applyAlignment="1" applyProtection="1">
      <alignment horizontal="center" vertical="center" wrapText="1"/>
      <protection locked="0"/>
    </xf>
    <xf numFmtId="0" fontId="5" fillId="9" borderId="7" xfId="0" applyFont="1" applyFill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0" fontId="5" fillId="9" borderId="10" xfId="0" applyFont="1" applyFill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left" vertical="center" wrapText="1"/>
      <protection locked="0"/>
    </xf>
    <xf numFmtId="0" fontId="5" fillId="0" borderId="15" xfId="0" applyFont="1" applyBorder="1" applyAlignment="1" applyProtection="1">
      <alignment horizontal="left" vertical="center" wrapText="1"/>
      <protection locked="0"/>
    </xf>
    <xf numFmtId="1" fontId="5" fillId="0" borderId="15" xfId="0" applyNumberFormat="1" applyFont="1" applyBorder="1" applyAlignment="1" applyProtection="1">
      <alignment horizontal="center" vertical="center" wrapText="1"/>
      <protection locked="0"/>
    </xf>
    <xf numFmtId="0" fontId="5" fillId="9" borderId="11" xfId="0" applyFont="1" applyFill="1" applyBorder="1" applyAlignment="1" applyProtection="1">
      <alignment horizontal="center" vertical="center" wrapText="1"/>
      <protection locked="0"/>
    </xf>
    <xf numFmtId="0" fontId="5" fillId="0" borderId="16" xfId="0" applyFont="1" applyBorder="1" applyAlignment="1" applyProtection="1">
      <alignment horizontal="left" vertical="center" wrapText="1"/>
      <protection locked="0"/>
    </xf>
    <xf numFmtId="1" fontId="1" fillId="21" borderId="4" xfId="0" applyNumberFormat="1" applyFont="1" applyFill="1" applyBorder="1" applyAlignment="1" applyProtection="1">
      <alignment horizontal="center" vertical="center"/>
      <protection locked="0"/>
    </xf>
    <xf numFmtId="0" fontId="9" fillId="21" borderId="2" xfId="0" applyFont="1" applyFill="1" applyBorder="1" applyAlignment="1" applyProtection="1">
      <alignment horizontal="center" vertical="center" wrapText="1"/>
      <protection locked="0"/>
    </xf>
    <xf numFmtId="0" fontId="9" fillId="21" borderId="12" xfId="0" applyFont="1" applyFill="1" applyBorder="1" applyAlignment="1" applyProtection="1">
      <alignment horizontal="center" vertical="center" wrapText="1"/>
      <protection locked="0"/>
    </xf>
    <xf numFmtId="0" fontId="9" fillId="21" borderId="3" xfId="0" applyFont="1" applyFill="1" applyBorder="1" applyAlignment="1" applyProtection="1">
      <alignment horizontal="center" vertical="center" wrapText="1"/>
      <protection locked="0"/>
    </xf>
    <xf numFmtId="0" fontId="1" fillId="21" borderId="4" xfId="0" applyFont="1" applyFill="1" applyBorder="1" applyAlignment="1" applyProtection="1">
      <alignment horizontal="center" vertical="center"/>
      <protection locked="0"/>
    </xf>
    <xf numFmtId="0" fontId="11" fillId="21" borderId="12" xfId="0" applyFont="1" applyFill="1" applyBorder="1" applyAlignment="1" applyProtection="1">
      <alignment horizontal="center" vertical="center" wrapText="1"/>
      <protection locked="0"/>
    </xf>
    <xf numFmtId="0" fontId="11" fillId="21" borderId="3" xfId="0" applyFont="1" applyFill="1" applyBorder="1" applyAlignment="1" applyProtection="1">
      <alignment horizontal="center" vertical="center" wrapText="1"/>
      <protection locked="0"/>
    </xf>
    <xf numFmtId="0" fontId="11" fillId="21" borderId="2" xfId="0" applyFont="1" applyFill="1" applyBorder="1" applyAlignment="1" applyProtection="1">
      <alignment horizontal="center" vertical="center" wrapText="1"/>
      <protection locked="0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" fillId="30" borderId="4" xfId="0" applyFont="1" applyFill="1" applyBorder="1" applyAlignment="1">
      <alignment horizontal="center" vertical="center"/>
    </xf>
    <xf numFmtId="0" fontId="27" fillId="32" borderId="25" xfId="0" applyFont="1" applyFill="1" applyBorder="1" applyAlignment="1">
      <alignment horizontal="center"/>
    </xf>
    <xf numFmtId="0" fontId="28" fillId="5" borderId="5" xfId="0" applyFont="1" applyFill="1" applyBorder="1" applyAlignment="1">
      <alignment horizontal="left" vertical="center"/>
    </xf>
    <xf numFmtId="1" fontId="28" fillId="5" borderId="6" xfId="0" applyNumberFormat="1" applyFont="1" applyFill="1" applyBorder="1" applyAlignment="1">
      <alignment horizontal="center" vertical="center"/>
    </xf>
    <xf numFmtId="0" fontId="29" fillId="0" borderId="0" xfId="0" applyFont="1"/>
    <xf numFmtId="0" fontId="28" fillId="5" borderId="8" xfId="0" applyFont="1" applyFill="1" applyBorder="1" applyAlignment="1">
      <alignment horizontal="left" vertical="center"/>
    </xf>
    <xf numFmtId="1" fontId="28" fillId="5" borderId="9" xfId="0" applyNumberFormat="1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left" vertical="center"/>
    </xf>
    <xf numFmtId="1" fontId="28" fillId="5" borderId="16" xfId="0" applyNumberFormat="1" applyFont="1" applyFill="1" applyBorder="1" applyAlignment="1">
      <alignment horizontal="center" vertical="center"/>
    </xf>
    <xf numFmtId="0" fontId="30" fillId="36" borderId="26" xfId="0" applyFont="1" applyFill="1" applyBorder="1" applyAlignment="1">
      <alignment horizontal="center"/>
    </xf>
    <xf numFmtId="0" fontId="29" fillId="37" borderId="26" xfId="0" applyFont="1" applyFill="1" applyBorder="1" applyAlignment="1">
      <alignment horizontal="center"/>
    </xf>
    <xf numFmtId="0" fontId="29" fillId="37" borderId="26" xfId="0" applyFont="1" applyFill="1" applyBorder="1" applyAlignment="1">
      <alignment horizontal="left"/>
    </xf>
    <xf numFmtId="1" fontId="29" fillId="37" borderId="26" xfId="0" applyNumberFormat="1" applyFont="1" applyFill="1" applyBorder="1" applyAlignment="1">
      <alignment horizontal="center"/>
    </xf>
    <xf numFmtId="0" fontId="29" fillId="34" borderId="26" xfId="0" applyFont="1" applyFill="1" applyBorder="1" applyAlignment="1">
      <alignment horizontal="center"/>
    </xf>
    <xf numFmtId="0" fontId="29" fillId="34" borderId="26" xfId="0" applyFont="1" applyFill="1" applyBorder="1" applyAlignment="1">
      <alignment horizontal="left"/>
    </xf>
    <xf numFmtId="1" fontId="29" fillId="34" borderId="26" xfId="0" applyNumberFormat="1" applyFont="1" applyFill="1" applyBorder="1" applyAlignment="1">
      <alignment horizontal="center"/>
    </xf>
    <xf numFmtId="0" fontId="31" fillId="33" borderId="25" xfId="0" applyFont="1" applyFill="1" applyBorder="1" applyAlignment="1">
      <alignment horizontal="center" vertical="center"/>
    </xf>
    <xf numFmtId="0" fontId="31" fillId="33" borderId="25" xfId="0" applyFont="1" applyFill="1" applyBorder="1" applyAlignment="1">
      <alignment horizontal="left" vertical="center"/>
    </xf>
    <xf numFmtId="1" fontId="31" fillId="33" borderId="25" xfId="0" applyNumberFormat="1" applyFont="1" applyFill="1" applyBorder="1" applyAlignment="1">
      <alignment horizontal="center" vertical="center"/>
    </xf>
    <xf numFmtId="0" fontId="31" fillId="34" borderId="25" xfId="0" applyFont="1" applyFill="1" applyBorder="1" applyAlignment="1">
      <alignment horizontal="center" vertical="center"/>
    </xf>
    <xf numFmtId="0" fontId="31" fillId="34" borderId="25" xfId="0" applyFont="1" applyFill="1" applyBorder="1" applyAlignment="1">
      <alignment horizontal="left" vertical="center"/>
    </xf>
    <xf numFmtId="1" fontId="31" fillId="34" borderId="25" xfId="0" applyNumberFormat="1" applyFont="1" applyFill="1" applyBorder="1" applyAlignment="1">
      <alignment horizontal="center" vertical="center"/>
    </xf>
    <xf numFmtId="0" fontId="31" fillId="0" borderId="0" xfId="0" applyFont="1"/>
    <xf numFmtId="0" fontId="30" fillId="36" borderId="25" xfId="0" applyFont="1" applyFill="1" applyBorder="1" applyAlignment="1">
      <alignment horizontal="center"/>
    </xf>
    <xf numFmtId="0" fontId="29" fillId="37" borderId="25" xfId="0" applyFont="1" applyFill="1" applyBorder="1" applyAlignment="1">
      <alignment horizontal="center"/>
    </xf>
    <xf numFmtId="0" fontId="29" fillId="37" borderId="25" xfId="0" applyFont="1" applyFill="1" applyBorder="1" applyAlignment="1">
      <alignment horizontal="left"/>
    </xf>
    <xf numFmtId="1" fontId="29" fillId="37" borderId="25" xfId="0" applyNumberFormat="1" applyFont="1" applyFill="1" applyBorder="1" applyAlignment="1">
      <alignment horizontal="center"/>
    </xf>
    <xf numFmtId="0" fontId="29" fillId="34" borderId="25" xfId="0" applyFont="1" applyFill="1" applyBorder="1" applyAlignment="1">
      <alignment horizontal="center"/>
    </xf>
    <xf numFmtId="0" fontId="29" fillId="34" borderId="25" xfId="0" applyFont="1" applyFill="1" applyBorder="1" applyAlignment="1">
      <alignment horizontal="left"/>
    </xf>
    <xf numFmtId="1" fontId="29" fillId="34" borderId="25" xfId="0" applyNumberFormat="1" applyFont="1" applyFill="1" applyBorder="1" applyAlignment="1">
      <alignment horizontal="center"/>
    </xf>
    <xf numFmtId="0" fontId="30" fillId="32" borderId="25" xfId="0" applyFont="1" applyFill="1" applyBorder="1" applyAlignment="1">
      <alignment horizontal="center"/>
    </xf>
    <xf numFmtId="0" fontId="29" fillId="33" borderId="25" xfId="0" applyFont="1" applyFill="1" applyBorder="1" applyAlignment="1">
      <alignment horizontal="center"/>
    </xf>
    <xf numFmtId="0" fontId="29" fillId="33" borderId="25" xfId="0" applyFont="1" applyFill="1" applyBorder="1" applyAlignment="1">
      <alignment horizontal="left"/>
    </xf>
    <xf numFmtId="1" fontId="29" fillId="33" borderId="25" xfId="0" applyNumberFormat="1" applyFont="1" applyFill="1" applyBorder="1" applyAlignment="1">
      <alignment horizontal="center"/>
    </xf>
    <xf numFmtId="0" fontId="32" fillId="19" borderId="5" xfId="0" applyFont="1" applyFill="1" applyBorder="1" applyAlignment="1">
      <alignment horizontal="left" vertical="center"/>
    </xf>
    <xf numFmtId="1" fontId="32" fillId="19" borderId="13" xfId="0" applyNumberFormat="1" applyFont="1" applyFill="1" applyBorder="1" applyAlignment="1">
      <alignment horizontal="center" vertical="center"/>
    </xf>
    <xf numFmtId="1" fontId="32" fillId="19" borderId="6" xfId="0" applyNumberFormat="1" applyFont="1" applyFill="1" applyBorder="1" applyAlignment="1">
      <alignment horizontal="center" vertical="center"/>
    </xf>
    <xf numFmtId="0" fontId="32" fillId="19" borderId="8" xfId="0" applyFont="1" applyFill="1" applyBorder="1" applyAlignment="1">
      <alignment horizontal="left" vertical="center"/>
    </xf>
    <xf numFmtId="1" fontId="32" fillId="19" borderId="0" xfId="0" applyNumberFormat="1" applyFont="1" applyFill="1" applyAlignment="1">
      <alignment horizontal="center" vertical="center"/>
    </xf>
    <xf numFmtId="1" fontId="32" fillId="19" borderId="9" xfId="0" applyNumberFormat="1" applyFont="1" applyFill="1" applyBorder="1" applyAlignment="1">
      <alignment horizontal="center" vertical="center"/>
    </xf>
    <xf numFmtId="0" fontId="32" fillId="19" borderId="14" xfId="0" applyFont="1" applyFill="1" applyBorder="1" applyAlignment="1">
      <alignment horizontal="left" vertical="center"/>
    </xf>
    <xf numFmtId="1" fontId="32" fillId="19" borderId="15" xfId="0" applyNumberFormat="1" applyFont="1" applyFill="1" applyBorder="1" applyAlignment="1">
      <alignment horizontal="center" vertical="center"/>
    </xf>
    <xf numFmtId="1" fontId="32" fillId="19" borderId="16" xfId="0" applyNumberFormat="1" applyFont="1" applyFill="1" applyBorder="1" applyAlignment="1">
      <alignment horizontal="center" vertical="center"/>
    </xf>
    <xf numFmtId="1" fontId="28" fillId="5" borderId="13" xfId="0" applyNumberFormat="1" applyFont="1" applyFill="1" applyBorder="1" applyAlignment="1">
      <alignment horizontal="center" vertical="center"/>
    </xf>
    <xf numFmtId="164" fontId="28" fillId="5" borderId="6" xfId="0" applyNumberFormat="1" applyFont="1" applyFill="1" applyBorder="1" applyAlignment="1">
      <alignment horizontal="center" vertical="center"/>
    </xf>
    <xf numFmtId="1" fontId="28" fillId="5" borderId="0" xfId="0" applyNumberFormat="1" applyFont="1" applyFill="1" applyAlignment="1">
      <alignment horizontal="center" vertical="center"/>
    </xf>
    <xf numFmtId="164" fontId="28" fillId="5" borderId="9" xfId="0" applyNumberFormat="1" applyFont="1" applyFill="1" applyBorder="1" applyAlignment="1">
      <alignment horizontal="center" vertical="center"/>
    </xf>
    <xf numFmtId="1" fontId="28" fillId="5" borderId="15" xfId="0" applyNumberFormat="1" applyFont="1" applyFill="1" applyBorder="1" applyAlignment="1">
      <alignment horizontal="center" vertical="center"/>
    </xf>
    <xf numFmtId="164" fontId="28" fillId="5" borderId="16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left" vertical="center"/>
    </xf>
    <xf numFmtId="0" fontId="10" fillId="20" borderId="22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3" fillId="8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0" xfId="0" applyFont="1" applyAlignment="1">
      <alignment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7" fillId="27" borderId="4" xfId="0" applyFont="1" applyFill="1" applyBorder="1" applyAlignment="1">
      <alignment horizontal="center" wrapText="1"/>
    </xf>
    <xf numFmtId="0" fontId="18" fillId="27" borderId="12" xfId="0" applyFont="1" applyFill="1" applyBorder="1" applyAlignment="1">
      <alignment horizontal="center"/>
    </xf>
    <xf numFmtId="0" fontId="18" fillId="27" borderId="3" xfId="0" applyFont="1" applyFill="1" applyBorder="1" applyAlignment="1">
      <alignment horizontal="center"/>
    </xf>
    <xf numFmtId="0" fontId="17" fillId="28" borderId="4" xfId="0" applyFont="1" applyFill="1" applyBorder="1" applyAlignment="1">
      <alignment horizontal="center" wrapText="1"/>
    </xf>
    <xf numFmtId="0" fontId="18" fillId="28" borderId="12" xfId="0" applyFont="1" applyFill="1" applyBorder="1" applyAlignment="1">
      <alignment horizontal="center"/>
    </xf>
    <xf numFmtId="0" fontId="18" fillId="28" borderId="3" xfId="0" applyFont="1" applyFill="1" applyBorder="1" applyAlignment="1">
      <alignment horizontal="center"/>
    </xf>
    <xf numFmtId="0" fontId="21" fillId="23" borderId="4" xfId="0" applyFont="1" applyFill="1" applyBorder="1" applyAlignment="1">
      <alignment horizontal="center" vertical="center" wrapText="1"/>
    </xf>
    <xf numFmtId="0" fontId="22" fillId="23" borderId="13" xfId="0" applyFont="1" applyFill="1" applyBorder="1" applyAlignment="1">
      <alignment horizontal="center" vertical="center"/>
    </xf>
    <xf numFmtId="0" fontId="22" fillId="23" borderId="6" xfId="0" applyFont="1" applyFill="1" applyBorder="1" applyAlignment="1">
      <alignment horizontal="center" vertical="center"/>
    </xf>
    <xf numFmtId="0" fontId="22" fillId="23" borderId="8" xfId="0" applyFont="1" applyFill="1" applyBorder="1" applyAlignment="1">
      <alignment horizontal="center" vertical="center"/>
    </xf>
    <xf numFmtId="0" fontId="22" fillId="23" borderId="0" xfId="0" applyFont="1" applyFill="1" applyAlignment="1">
      <alignment horizontal="center" vertical="center"/>
    </xf>
    <xf numFmtId="0" fontId="22" fillId="23" borderId="9" xfId="0" applyFont="1" applyFill="1" applyBorder="1" applyAlignment="1">
      <alignment horizontal="center" vertical="center"/>
    </xf>
    <xf numFmtId="0" fontId="22" fillId="23" borderId="14" xfId="0" applyFont="1" applyFill="1" applyBorder="1" applyAlignment="1">
      <alignment horizontal="center" vertical="center"/>
    </xf>
    <xf numFmtId="0" fontId="22" fillId="23" borderId="15" xfId="0" applyFont="1" applyFill="1" applyBorder="1" applyAlignment="1">
      <alignment horizontal="center" vertical="center"/>
    </xf>
    <xf numFmtId="0" fontId="22" fillId="23" borderId="16" xfId="0" applyFont="1" applyFill="1" applyBorder="1" applyAlignment="1">
      <alignment horizontal="center" vertical="center"/>
    </xf>
    <xf numFmtId="0" fontId="17" fillId="29" borderId="4" xfId="0" applyFont="1" applyFill="1" applyBorder="1" applyAlignment="1">
      <alignment horizontal="center" wrapText="1"/>
    </xf>
    <xf numFmtId="0" fontId="18" fillId="29" borderId="12" xfId="0" applyFont="1" applyFill="1" applyBorder="1" applyAlignment="1">
      <alignment horizontal="center"/>
    </xf>
    <xf numFmtId="0" fontId="18" fillId="29" borderId="3" xfId="0" applyFont="1" applyFill="1" applyBorder="1" applyAlignment="1">
      <alignment horizontal="center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17" fillId="26" borderId="4" xfId="0" applyFont="1" applyFill="1" applyBorder="1" applyAlignment="1">
      <alignment horizontal="center" wrapText="1"/>
    </xf>
    <xf numFmtId="0" fontId="18" fillId="26" borderId="12" xfId="0" applyFont="1" applyFill="1" applyBorder="1" applyAlignment="1">
      <alignment horizontal="center"/>
    </xf>
    <xf numFmtId="0" fontId="18" fillId="26" borderId="3" xfId="0" applyFont="1" applyFill="1" applyBorder="1" applyAlignment="1">
      <alignment horizontal="center"/>
    </xf>
    <xf numFmtId="0" fontId="19" fillId="22" borderId="4" xfId="0" applyFont="1" applyFill="1" applyBorder="1" applyAlignment="1">
      <alignment horizontal="center" vertical="center" wrapText="1"/>
    </xf>
    <xf numFmtId="0" fontId="20" fillId="22" borderId="13" xfId="0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horizontal="center" vertical="center"/>
    </xf>
    <xf numFmtId="0" fontId="20" fillId="22" borderId="8" xfId="0" applyFont="1" applyFill="1" applyBorder="1" applyAlignment="1">
      <alignment horizontal="center" vertical="center"/>
    </xf>
    <xf numFmtId="0" fontId="20" fillId="22" borderId="0" xfId="0" applyFont="1" applyFill="1" applyAlignment="1">
      <alignment horizontal="center" vertical="center"/>
    </xf>
    <xf numFmtId="0" fontId="20" fillId="22" borderId="9" xfId="0" applyFont="1" applyFill="1" applyBorder="1" applyAlignment="1">
      <alignment horizontal="center" vertical="center"/>
    </xf>
    <xf numFmtId="0" fontId="20" fillId="22" borderId="14" xfId="0" applyFont="1" applyFill="1" applyBorder="1" applyAlignment="1">
      <alignment horizontal="center" vertical="center"/>
    </xf>
    <xf numFmtId="0" fontId="20" fillId="22" borderId="15" xfId="0" applyFont="1" applyFill="1" applyBorder="1" applyAlignment="1">
      <alignment horizontal="center" vertical="center"/>
    </xf>
    <xf numFmtId="0" fontId="20" fillId="22" borderId="16" xfId="0" applyFont="1" applyFill="1" applyBorder="1" applyAlignment="1">
      <alignment horizontal="center" vertical="center"/>
    </xf>
    <xf numFmtId="0" fontId="30" fillId="31" borderId="25" xfId="0" applyFont="1" applyFill="1" applyBorder="1" applyAlignment="1">
      <alignment horizontal="center" vertical="center"/>
    </xf>
    <xf numFmtId="0" fontId="30" fillId="35" borderId="26" xfId="0" applyFont="1" applyFill="1" applyBorder="1" applyAlignment="1">
      <alignment horizontal="center"/>
    </xf>
    <xf numFmtId="0" fontId="23" fillId="24" borderId="4" xfId="0" applyFont="1" applyFill="1" applyBorder="1" applyAlignment="1">
      <alignment horizontal="center" vertical="center" wrapText="1"/>
    </xf>
    <xf numFmtId="0" fontId="24" fillId="24" borderId="13" xfId="0" applyFont="1" applyFill="1" applyBorder="1" applyAlignment="1">
      <alignment horizontal="center" vertical="center"/>
    </xf>
    <xf numFmtId="0" fontId="24" fillId="24" borderId="6" xfId="0" applyFont="1" applyFill="1" applyBorder="1" applyAlignment="1">
      <alignment horizontal="center" vertical="center"/>
    </xf>
    <xf numFmtId="0" fontId="24" fillId="24" borderId="8" xfId="0" applyFont="1" applyFill="1" applyBorder="1" applyAlignment="1">
      <alignment horizontal="center" vertical="center"/>
    </xf>
    <xf numFmtId="0" fontId="24" fillId="24" borderId="0" xfId="0" applyFont="1" applyFill="1" applyAlignment="1">
      <alignment horizontal="center" vertical="center"/>
    </xf>
    <xf numFmtId="0" fontId="24" fillId="24" borderId="9" xfId="0" applyFont="1" applyFill="1" applyBorder="1" applyAlignment="1">
      <alignment horizontal="center" vertical="center"/>
    </xf>
    <xf numFmtId="0" fontId="24" fillId="24" borderId="14" xfId="0" applyFont="1" applyFill="1" applyBorder="1" applyAlignment="1">
      <alignment horizontal="center" vertical="center"/>
    </xf>
    <xf numFmtId="0" fontId="24" fillId="24" borderId="15" xfId="0" applyFont="1" applyFill="1" applyBorder="1" applyAlignment="1">
      <alignment horizontal="center" vertical="center"/>
    </xf>
    <xf numFmtId="0" fontId="24" fillId="24" borderId="16" xfId="0" applyFont="1" applyFill="1" applyBorder="1" applyAlignment="1">
      <alignment horizontal="center" vertical="center"/>
    </xf>
    <xf numFmtId="164" fontId="25" fillId="25" borderId="4" xfId="0" applyNumberFormat="1" applyFont="1" applyFill="1" applyBorder="1" applyAlignment="1">
      <alignment horizontal="center" vertical="center" wrapText="1"/>
    </xf>
    <xf numFmtId="164" fontId="26" fillId="25" borderId="13" xfId="0" applyNumberFormat="1" applyFont="1" applyFill="1" applyBorder="1" applyAlignment="1">
      <alignment horizontal="center" vertical="center"/>
    </xf>
    <xf numFmtId="164" fontId="26" fillId="25" borderId="6" xfId="0" applyNumberFormat="1" applyFont="1" applyFill="1" applyBorder="1" applyAlignment="1">
      <alignment horizontal="center" vertical="center"/>
    </xf>
    <xf numFmtId="164" fontId="26" fillId="25" borderId="8" xfId="0" applyNumberFormat="1" applyFont="1" applyFill="1" applyBorder="1" applyAlignment="1">
      <alignment horizontal="center" vertical="center"/>
    </xf>
    <xf numFmtId="164" fontId="26" fillId="25" borderId="0" xfId="0" applyNumberFormat="1" applyFont="1" applyFill="1" applyAlignment="1">
      <alignment horizontal="center" vertical="center"/>
    </xf>
    <xf numFmtId="164" fontId="26" fillId="25" borderId="9" xfId="0" applyNumberFormat="1" applyFont="1" applyFill="1" applyBorder="1" applyAlignment="1">
      <alignment horizontal="center" vertical="center"/>
    </xf>
    <xf numFmtId="164" fontId="26" fillId="25" borderId="14" xfId="0" applyNumberFormat="1" applyFont="1" applyFill="1" applyBorder="1" applyAlignment="1">
      <alignment horizontal="center" vertical="center"/>
    </xf>
    <xf numFmtId="164" fontId="26" fillId="25" borderId="15" xfId="0" applyNumberFormat="1" applyFont="1" applyFill="1" applyBorder="1" applyAlignment="1">
      <alignment horizontal="center" vertical="center"/>
    </xf>
    <xf numFmtId="164" fontId="26" fillId="25" borderId="16" xfId="0" applyNumberFormat="1" applyFont="1" applyFill="1" applyBorder="1" applyAlignment="1">
      <alignment horizontal="center" vertical="center"/>
    </xf>
    <xf numFmtId="0" fontId="27" fillId="31" borderId="25" xfId="0" applyFont="1" applyFill="1" applyBorder="1" applyAlignment="1">
      <alignment horizontal="center" vertical="center"/>
    </xf>
    <xf numFmtId="0" fontId="30" fillId="35" borderId="25" xfId="0" applyFont="1" applyFill="1" applyBorder="1" applyAlignment="1">
      <alignment horizontal="center" vertical="center"/>
    </xf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0" fillId="0" borderId="15" xfId="0" applyBorder="1" applyAlignment="1"/>
    <xf numFmtId="0" fontId="0" fillId="0" borderId="12" xfId="0" applyBorder="1" applyAlignment="1"/>
    <xf numFmtId="0" fontId="0" fillId="0" borderId="3" xfId="0" applyBorder="1" applyAlignment="1"/>
    <xf numFmtId="0" fontId="0" fillId="0" borderId="16" xfId="0" applyBorder="1" applyAlignment="1"/>
    <xf numFmtId="0" fontId="0" fillId="0" borderId="0" xfId="0" applyAlignment="1"/>
  </cellXfs>
  <cellStyles count="1">
    <cellStyle name="Normal" xfId="0" builtinId="0"/>
  </cellStyles>
  <dxfs count="2">
    <dxf>
      <fill>
        <patternFill>
          <bgColor rgb="FFE9F7EF"/>
        </patternFill>
      </fill>
    </dxf>
    <dxf>
      <fill>
        <patternFill>
          <bgColor rgb="FFFFF7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3C7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CCCCC"/>
      <rgbColor rgb="FF8B8B8B"/>
      <rgbColor rgb="FFF8FAFC"/>
      <rgbColor rgb="FF7C3AED"/>
      <rgbColor rgb="FFFFF7CC"/>
      <rgbColor rgb="FFDCFCE7"/>
      <rgbColor rgb="FF660066"/>
      <rgbColor rgb="FFFF8080"/>
      <rgbColor rgb="FF1D4ED8"/>
      <rgbColor rgb="FFD1D5DB"/>
      <rgbColor rgb="FF000080"/>
      <rgbColor rgb="FFFF00FF"/>
      <rgbColor rgb="FFFFF7D6"/>
      <rgbColor rgb="FF00FFFF"/>
      <rgbColor rgb="FF800080"/>
      <rgbColor rgb="FF800000"/>
      <rgbColor rgb="FF156082"/>
      <rgbColor rgb="FF0000FF"/>
      <rgbColor rgb="FF00CCFF"/>
      <rgbColor rgb="FFE9F7EF"/>
      <rgbColor rgb="FFECFDF5"/>
      <rgbColor rgb="FFFFF3C4"/>
      <rgbColor rgb="FFF3E8FF"/>
      <rgbColor rgb="FFF3F4F6"/>
      <rgbColor rgb="FFEFF6FF"/>
      <rgbColor rgb="FFD9D9D9"/>
      <rgbColor rgb="FF2563EB"/>
      <rgbColor rgb="FF33CCCC"/>
      <rgbColor rgb="FF99CC00"/>
      <rgbColor rgb="FFFFF7ED"/>
      <rgbColor rgb="FFFF9900"/>
      <rgbColor rgb="FFFF6600"/>
      <rgbColor rgb="FF6B7280"/>
      <rgbColor rgb="FFFFFBEB"/>
      <rgbColor rgb="FF123B66"/>
      <rgbColor rgb="FF339966"/>
      <rgbColor rgb="FF0B1F3A"/>
      <rgbColor rgb="FF111827"/>
      <rgbColor rgb="FFB45309"/>
      <rgbColor rgb="FF993366"/>
      <rgbColor rgb="FF0F2747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Average points by round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Points</c:v>
          </c:tx>
          <c:spPr>
            <a:solidFill>
              <a:srgbClr val="15608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'Statistics Dashboard'!$A$11:$A$16</c:f>
              <c:strCache>
                <c:ptCount val="6"/>
                <c:pt idx="0">
                  <c:v>Group Stage</c:v>
                </c:pt>
                <c:pt idx="1">
                  <c:v>Round of 32</c:v>
                </c:pt>
                <c:pt idx="2">
                  <c:v>Round of 16</c:v>
                </c:pt>
                <c:pt idx="3">
                  <c:v>Quarter-finals</c:v>
                </c:pt>
                <c:pt idx="4">
                  <c:v>Semi-finals</c:v>
                </c:pt>
                <c:pt idx="5">
                  <c:v>Final</c:v>
                </c:pt>
              </c:strCache>
            </c:strRef>
          </c:cat>
          <c:val>
            <c:numRef>
              <c:f>'Statistics Dashboard'!$B$11:$B$16</c:f>
              <c:numCache>
                <c:formatCode>0</c:formatCode>
                <c:ptCount val="6"/>
                <c:pt idx="0">
                  <c:v>33.65</c:v>
                </c:pt>
                <c:pt idx="1">
                  <c:v>11.8</c:v>
                </c:pt>
                <c:pt idx="2">
                  <c:v>5.8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3-4A2D-BF51-2C1FD783C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764780"/>
        <c:axId val="62710785"/>
      </c:barChart>
      <c:catAx>
        <c:axId val="3676478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2710785"/>
        <c:crosses val="autoZero"/>
        <c:auto val="1"/>
        <c:lblAlgn val="ctr"/>
        <c:lblOffset val="100"/>
        <c:noMultiLvlLbl val="0"/>
      </c:catAx>
      <c:valAx>
        <c:axId val="6271078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3676478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Top 10 players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Points</c:v>
          </c:tx>
          <c:spPr>
            <a:solidFill>
              <a:srgbClr val="15608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'Statistics Dashboard'!$F$11:$F$20</c:f>
              <c:strCache>
                <c:ptCount val="10"/>
                <c:pt idx="0">
                  <c:v>Muhammad Naufal Aiman</c:v>
                </c:pt>
                <c:pt idx="1">
                  <c:v>Aldy</c:v>
                </c:pt>
                <c:pt idx="2">
                  <c:v>Febby Yudhi Pratama</c:v>
                </c:pt>
                <c:pt idx="3">
                  <c:v>Fathan Mauludin</c:v>
                </c:pt>
                <c:pt idx="4">
                  <c:v>Affaninho</c:v>
                </c:pt>
                <c:pt idx="5">
                  <c:v>M Fakhri Auladana</c:v>
                </c:pt>
                <c:pt idx="6">
                  <c:v>Ahade</c:v>
                </c:pt>
                <c:pt idx="7">
                  <c:v>Dausman</c:v>
                </c:pt>
                <c:pt idx="8">
                  <c:v>Aji</c:v>
                </c:pt>
                <c:pt idx="9">
                  <c:v>Wawa</c:v>
                </c:pt>
              </c:strCache>
            </c:strRef>
          </c:cat>
          <c:val>
            <c:numRef>
              <c:f>'Statistics Dashboard'!$G$11:$G$20</c:f>
              <c:numCache>
                <c:formatCode>0</c:formatCode>
                <c:ptCount val="10"/>
                <c:pt idx="0">
                  <c:v>153</c:v>
                </c:pt>
                <c:pt idx="1">
                  <c:v>144</c:v>
                </c:pt>
                <c:pt idx="2">
                  <c:v>143</c:v>
                </c:pt>
                <c:pt idx="3">
                  <c:v>132</c:v>
                </c:pt>
                <c:pt idx="4">
                  <c:v>126</c:v>
                </c:pt>
                <c:pt idx="5">
                  <c:v>125</c:v>
                </c:pt>
                <c:pt idx="6">
                  <c:v>122</c:v>
                </c:pt>
                <c:pt idx="7">
                  <c:v>38</c:v>
                </c:pt>
                <c:pt idx="8">
                  <c:v>30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2-4AE6-A6B0-35493B96E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16130"/>
        <c:axId val="29923732"/>
      </c:barChart>
      <c:catAx>
        <c:axId val="5431613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29923732"/>
        <c:crosses val="autoZero"/>
        <c:auto val="1"/>
        <c:lblAlgn val="ctr"/>
        <c:lblOffset val="100"/>
        <c:noMultiLvlLbl val="0"/>
      </c:catAx>
      <c:valAx>
        <c:axId val="2992373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5431613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35</xdr:row>
      <xdr:rowOff>211740</xdr:rowOff>
    </xdr:from>
    <xdr:to>
      <xdr:col>6</xdr:col>
      <xdr:colOff>1134795</xdr:colOff>
      <xdr:row>49</xdr:row>
      <xdr:rowOff>58620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247650</xdr:colOff>
      <xdr:row>8</xdr:row>
      <xdr:rowOff>19050</xdr:rowOff>
    </xdr:from>
    <xdr:to>
      <xdr:col>27</xdr:col>
      <xdr:colOff>257175</xdr:colOff>
      <xdr:row>24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  <a:ext uri="{147F2762-F138-4A5C-976F-8EAC2B608ADB}">
              <a16:predDERef xmlns:a16="http://schemas.microsoft.com/office/drawing/2014/main" pre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showGridLines="0" tabSelected="1" topLeftCell="A4" zoomScale="85" zoomScaleNormal="85" workbookViewId="0">
      <selection activeCell="K11" sqref="K11"/>
    </sheetView>
  </sheetViews>
  <sheetFormatPr defaultColWidth="8.7109375" defaultRowHeight="15" customHeight="1"/>
  <cols>
    <col min="1" max="1" width="13.28515625" customWidth="1"/>
    <col min="2" max="7" width="18" customWidth="1"/>
    <col min="8" max="8" width="32" customWidth="1"/>
    <col min="10" max="10" width="24" customWidth="1"/>
    <col min="11" max="11" width="10" customWidth="1"/>
    <col min="12" max="12" width="22" customWidth="1"/>
    <col min="13" max="13" width="18" customWidth="1"/>
    <col min="14" max="15" width="12" customWidth="1"/>
  </cols>
  <sheetData>
    <row r="1" spans="1:15" ht="15" customHeight="1">
      <c r="A1" s="162" t="s">
        <v>0</v>
      </c>
      <c r="B1" s="232"/>
      <c r="C1" s="232"/>
      <c r="D1" s="232"/>
      <c r="E1" s="232"/>
      <c r="F1" s="232"/>
      <c r="G1" s="232"/>
      <c r="H1" s="233"/>
    </row>
    <row r="2" spans="1:15" ht="15" customHeight="1">
      <c r="A2" s="234"/>
      <c r="B2" s="235"/>
      <c r="C2" s="235"/>
      <c r="D2" s="235"/>
      <c r="E2" s="235"/>
      <c r="F2" s="235"/>
      <c r="G2" s="235"/>
      <c r="H2" s="236"/>
    </row>
    <row r="3" spans="1:15" ht="28.35" customHeight="1">
      <c r="J3" s="1" t="s">
        <v>1</v>
      </c>
      <c r="K3" s="2" t="s">
        <v>2</v>
      </c>
      <c r="M3" s="3" t="s">
        <v>3</v>
      </c>
      <c r="O3" s="3" t="s">
        <v>4</v>
      </c>
    </row>
    <row r="4" spans="1:15" ht="409.6" customHeight="1">
      <c r="A4" s="4" t="s">
        <v>5</v>
      </c>
      <c r="B4" s="4" t="s">
        <v>5</v>
      </c>
      <c r="C4" s="4" t="s">
        <v>5</v>
      </c>
      <c r="D4" s="4" t="s">
        <v>5</v>
      </c>
      <c r="E4" s="4" t="s">
        <v>5</v>
      </c>
      <c r="F4" s="4" t="s">
        <v>5</v>
      </c>
      <c r="G4" s="4" t="s">
        <v>5</v>
      </c>
      <c r="H4" s="4" t="s">
        <v>5</v>
      </c>
      <c r="J4" s="5" t="s">
        <v>6</v>
      </c>
      <c r="K4" s="6">
        <v>4</v>
      </c>
      <c r="M4" s="7" t="str">
        <f>'Official Results'!C6</f>
        <v>Mexico</v>
      </c>
      <c r="O4" s="8" t="s">
        <v>7</v>
      </c>
    </row>
    <row r="5" spans="1:15" ht="15" customHeight="1">
      <c r="J5" s="9" t="s">
        <v>8</v>
      </c>
      <c r="K5" s="10">
        <v>4</v>
      </c>
      <c r="M5" s="11" t="str">
        <f>'Official Results'!C7</f>
        <v>South Africa</v>
      </c>
      <c r="O5" s="12" t="s">
        <v>9</v>
      </c>
    </row>
    <row r="6" spans="1:15" ht="68.650000000000006" customHeight="1">
      <c r="A6" s="13" t="s">
        <v>10</v>
      </c>
      <c r="B6" s="14" t="s">
        <v>10</v>
      </c>
      <c r="C6" s="14" t="s">
        <v>10</v>
      </c>
      <c r="D6" s="14" t="s">
        <v>10</v>
      </c>
      <c r="E6" s="14" t="s">
        <v>10</v>
      </c>
      <c r="F6" s="14" t="s">
        <v>10</v>
      </c>
      <c r="G6" s="14" t="s">
        <v>10</v>
      </c>
      <c r="H6" s="15" t="s">
        <v>10</v>
      </c>
      <c r="J6" s="9" t="s">
        <v>11</v>
      </c>
      <c r="K6" s="10">
        <v>1</v>
      </c>
      <c r="M6" s="11" t="str">
        <f>'Official Results'!C8</f>
        <v>Korea Republic</v>
      </c>
    </row>
    <row r="7" spans="1:15" ht="46.15" customHeight="1">
      <c r="A7" s="16" t="s">
        <v>12</v>
      </c>
      <c r="B7" s="17" t="s">
        <v>13</v>
      </c>
      <c r="C7" s="18" t="s">
        <v>14</v>
      </c>
      <c r="D7" s="18" t="s">
        <v>15</v>
      </c>
      <c r="E7" s="18" t="s">
        <v>16</v>
      </c>
      <c r="F7" s="18"/>
      <c r="G7" s="18"/>
      <c r="H7" s="19"/>
      <c r="J7" s="9" t="s">
        <v>17</v>
      </c>
      <c r="K7" s="10">
        <v>2</v>
      </c>
      <c r="M7" s="11" t="str">
        <f>'Official Results'!C9</f>
        <v>Czechia</v>
      </c>
    </row>
    <row r="8" spans="1:15" ht="68.650000000000006" customHeight="1">
      <c r="A8" s="20" t="s">
        <v>18</v>
      </c>
      <c r="B8" s="21" t="s">
        <v>19</v>
      </c>
      <c r="C8" s="22" t="s">
        <v>20</v>
      </c>
      <c r="D8" s="22" t="s">
        <v>21</v>
      </c>
      <c r="E8" s="22" t="s">
        <v>22</v>
      </c>
      <c r="F8" s="22"/>
      <c r="G8" s="22"/>
      <c r="H8" s="23"/>
      <c r="J8" s="9" t="s">
        <v>23</v>
      </c>
      <c r="K8" s="10">
        <v>2</v>
      </c>
      <c r="M8" s="11" t="str">
        <f>'Official Results'!J6</f>
        <v>Switzerland</v>
      </c>
    </row>
    <row r="9" spans="1:15" ht="46.15" customHeight="1">
      <c r="A9" s="24" t="s">
        <v>24</v>
      </c>
      <c r="B9" s="25" t="s">
        <v>25</v>
      </c>
      <c r="C9" s="26" t="s">
        <v>26</v>
      </c>
      <c r="D9" s="26" t="s">
        <v>27</v>
      </c>
      <c r="E9" s="26" t="s">
        <v>28</v>
      </c>
      <c r="F9" s="26"/>
      <c r="G9" s="26"/>
      <c r="H9" s="27"/>
      <c r="J9" s="9" t="s">
        <v>29</v>
      </c>
      <c r="K9" s="10">
        <v>3</v>
      </c>
      <c r="M9" s="11" t="str">
        <f>'Official Results'!J7</f>
        <v>Canada</v>
      </c>
    </row>
    <row r="10" spans="1:15" ht="15" customHeight="1">
      <c r="J10" s="9" t="s">
        <v>30</v>
      </c>
      <c r="K10" s="10">
        <v>2</v>
      </c>
      <c r="M10" s="11" t="str">
        <f>'Official Results'!J8</f>
        <v>Bosnia and Herzegovina</v>
      </c>
    </row>
    <row r="11" spans="1:15" ht="15" customHeight="1">
      <c r="J11" s="9" t="s">
        <v>31</v>
      </c>
      <c r="K11" s="10">
        <v>4</v>
      </c>
      <c r="M11" s="11" t="str">
        <f>'Official Results'!J9</f>
        <v>Qatar</v>
      </c>
    </row>
    <row r="12" spans="1:15" ht="95.65" customHeight="1">
      <c r="A12" s="28" t="s">
        <v>32</v>
      </c>
      <c r="B12" s="29" t="s">
        <v>32</v>
      </c>
      <c r="C12" s="29" t="s">
        <v>32</v>
      </c>
      <c r="D12" s="29" t="s">
        <v>32</v>
      </c>
      <c r="E12" s="29" t="s">
        <v>32</v>
      </c>
      <c r="F12" s="29" t="s">
        <v>32</v>
      </c>
      <c r="G12" s="29" t="s">
        <v>32</v>
      </c>
      <c r="H12" s="30" t="s">
        <v>32</v>
      </c>
      <c r="J12" s="9" t="s">
        <v>33</v>
      </c>
      <c r="K12" s="10">
        <v>8</v>
      </c>
      <c r="M12" s="11" t="str">
        <f>'Official Results'!Q6</f>
        <v>Brazil</v>
      </c>
    </row>
    <row r="13" spans="1:15" ht="57.4" customHeight="1">
      <c r="A13" s="31" t="s">
        <v>34</v>
      </c>
      <c r="B13" s="32" t="s">
        <v>35</v>
      </c>
      <c r="C13" s="32" t="s">
        <v>36</v>
      </c>
      <c r="D13" s="33"/>
      <c r="E13" s="33"/>
      <c r="F13" s="33"/>
      <c r="G13" s="33"/>
      <c r="H13" s="34"/>
      <c r="J13" s="9" t="s">
        <v>37</v>
      </c>
      <c r="K13" s="10">
        <v>16</v>
      </c>
      <c r="M13" s="11" t="str">
        <f>'Official Results'!Q7</f>
        <v>Morocco</v>
      </c>
    </row>
    <row r="14" spans="1:15" ht="46.15" customHeight="1">
      <c r="A14" s="35" t="s">
        <v>38</v>
      </c>
      <c r="B14" s="36" t="s">
        <v>39</v>
      </c>
      <c r="C14" s="36" t="s">
        <v>40</v>
      </c>
      <c r="D14" s="37"/>
      <c r="E14" s="37"/>
      <c r="F14" s="37"/>
      <c r="G14" s="37"/>
      <c r="H14" s="38"/>
      <c r="J14" s="9" t="s">
        <v>41</v>
      </c>
      <c r="K14" s="10">
        <v>16</v>
      </c>
      <c r="M14" s="11" t="str">
        <f>'Official Results'!Q8</f>
        <v>Scotland</v>
      </c>
    </row>
    <row r="15" spans="1:15" ht="15" customHeight="1">
      <c r="J15" s="9" t="s">
        <v>42</v>
      </c>
      <c r="K15" s="10">
        <v>20</v>
      </c>
      <c r="M15" s="11" t="str">
        <f>'Official Results'!Q9</f>
        <v>Haiti</v>
      </c>
    </row>
    <row r="16" spans="1:15" ht="55.15" customHeight="1">
      <c r="A16" s="13" t="s">
        <v>43</v>
      </c>
      <c r="B16" s="14" t="s">
        <v>43</v>
      </c>
      <c r="C16" s="14" t="s">
        <v>43</v>
      </c>
      <c r="D16" s="14" t="s">
        <v>43</v>
      </c>
      <c r="E16" s="14" t="s">
        <v>43</v>
      </c>
      <c r="F16" s="14" t="s">
        <v>43</v>
      </c>
      <c r="G16" s="14" t="s">
        <v>43</v>
      </c>
      <c r="H16" s="15" t="s">
        <v>43</v>
      </c>
      <c r="J16" s="39" t="s">
        <v>44</v>
      </c>
      <c r="K16" s="40">
        <v>8</v>
      </c>
      <c r="M16" s="11" t="str">
        <f>'Official Results'!X6</f>
        <v>United States</v>
      </c>
    </row>
    <row r="17" spans="1:13" ht="35.1" customHeight="1">
      <c r="A17" s="5" t="s">
        <v>12</v>
      </c>
      <c r="B17" s="18" t="s">
        <v>45</v>
      </c>
      <c r="C17" s="18" t="s">
        <v>46</v>
      </c>
      <c r="D17" s="18"/>
      <c r="E17" s="18"/>
      <c r="F17" s="18"/>
      <c r="G17" s="18"/>
      <c r="H17" s="19"/>
      <c r="M17" s="11" t="str">
        <f>'Official Results'!X7</f>
        <v>Australia</v>
      </c>
    </row>
    <row r="18" spans="1:13" ht="35.1" customHeight="1">
      <c r="A18" s="9" t="s">
        <v>18</v>
      </c>
      <c r="B18" s="22" t="s">
        <v>47</v>
      </c>
      <c r="C18" s="22" t="s">
        <v>48</v>
      </c>
      <c r="D18" s="22"/>
      <c r="E18" s="22"/>
      <c r="F18" s="22"/>
      <c r="G18" s="22"/>
      <c r="H18" s="23"/>
      <c r="M18" s="11" t="str">
        <f>'Official Results'!X8</f>
        <v>Paraguay</v>
      </c>
    </row>
    <row r="19" spans="1:13" ht="35.1" customHeight="1">
      <c r="A19" s="9" t="s">
        <v>24</v>
      </c>
      <c r="B19" s="22" t="s">
        <v>49</v>
      </c>
      <c r="C19" s="22" t="s">
        <v>50</v>
      </c>
      <c r="D19" s="22"/>
      <c r="E19" s="22"/>
      <c r="F19" s="22"/>
      <c r="G19" s="22"/>
      <c r="H19" s="23"/>
      <c r="M19" s="11" t="str">
        <f>'Official Results'!X9</f>
        <v>Türkiye</v>
      </c>
    </row>
    <row r="20" spans="1:13" ht="46.15" customHeight="1">
      <c r="A20" s="39" t="s">
        <v>51</v>
      </c>
      <c r="B20" s="26" t="s">
        <v>52</v>
      </c>
      <c r="C20" s="26" t="s">
        <v>53</v>
      </c>
      <c r="D20" s="26"/>
      <c r="E20" s="26"/>
      <c r="F20" s="26"/>
      <c r="G20" s="26"/>
      <c r="H20" s="27"/>
      <c r="M20" s="11" t="str">
        <f>'Official Results'!C13</f>
        <v>Germany</v>
      </c>
    </row>
    <row r="21" spans="1:13" ht="15" customHeight="1">
      <c r="M21" s="11" t="str">
        <f>'Official Results'!C14</f>
        <v>Côte d'Ivoire</v>
      </c>
    </row>
    <row r="22" spans="1:13" ht="15" customHeight="1">
      <c r="M22" s="11" t="str">
        <f>'Official Results'!C15</f>
        <v>Ecuador</v>
      </c>
    </row>
    <row r="23" spans="1:13" ht="15" customHeight="1">
      <c r="M23" s="11" t="str">
        <f>'Official Results'!C16</f>
        <v>Curaçao</v>
      </c>
    </row>
    <row r="24" spans="1:13" ht="15" customHeight="1">
      <c r="M24" s="11" t="str">
        <f>'Official Results'!J13</f>
        <v>Netherlands</v>
      </c>
    </row>
    <row r="25" spans="1:13" ht="15" customHeight="1">
      <c r="M25" s="11" t="str">
        <f>'Official Results'!J14</f>
        <v>Japan</v>
      </c>
    </row>
    <row r="26" spans="1:13" ht="15" customHeight="1">
      <c r="M26" s="11" t="str">
        <f>'Official Results'!J15</f>
        <v>Sweden</v>
      </c>
    </row>
    <row r="27" spans="1:13" ht="15" customHeight="1">
      <c r="M27" s="11" t="str">
        <f>'Official Results'!J16</f>
        <v>Tunisia</v>
      </c>
    </row>
    <row r="28" spans="1:13" ht="15" customHeight="1">
      <c r="M28" s="11" t="str">
        <f>'Official Results'!Q13</f>
        <v>Belgium</v>
      </c>
    </row>
    <row r="29" spans="1:13" ht="15" customHeight="1">
      <c r="M29" s="11" t="str">
        <f>'Official Results'!Q14</f>
        <v>Egypt</v>
      </c>
    </row>
    <row r="30" spans="1:13" ht="15" customHeight="1">
      <c r="M30" s="11" t="str">
        <f>'Official Results'!Q15</f>
        <v>IR Iran</v>
      </c>
    </row>
    <row r="31" spans="1:13" ht="15" customHeight="1">
      <c r="M31" s="11" t="str">
        <f>'Official Results'!Q16</f>
        <v>New Zealand</v>
      </c>
    </row>
    <row r="32" spans="1:13" ht="15" customHeight="1">
      <c r="M32" s="11" t="str">
        <f>'Official Results'!X13</f>
        <v>Spain</v>
      </c>
    </row>
    <row r="33" spans="13:13" ht="15" customHeight="1">
      <c r="M33" s="11" t="str">
        <f>'Official Results'!X14</f>
        <v>Cabo Verde</v>
      </c>
    </row>
    <row r="34" spans="13:13" ht="15" customHeight="1">
      <c r="M34" s="11" t="str">
        <f>'Official Results'!X15</f>
        <v>Uruguay</v>
      </c>
    </row>
    <row r="35" spans="13:13" ht="15" customHeight="1">
      <c r="M35" s="11" t="str">
        <f>'Official Results'!X16</f>
        <v>Saudi Arabia</v>
      </c>
    </row>
    <row r="36" spans="13:13" ht="15" customHeight="1">
      <c r="M36" s="11" t="str">
        <f>'Official Results'!C20</f>
        <v>France</v>
      </c>
    </row>
    <row r="37" spans="13:13" ht="15" customHeight="1">
      <c r="M37" s="11" t="str">
        <f>'Official Results'!C21</f>
        <v>Norway</v>
      </c>
    </row>
    <row r="38" spans="13:13" ht="15" customHeight="1">
      <c r="M38" s="11" t="str">
        <f>'Official Results'!C22</f>
        <v>Senegal</v>
      </c>
    </row>
    <row r="39" spans="13:13" ht="15" customHeight="1">
      <c r="M39" s="11" t="str">
        <f>'Official Results'!C23</f>
        <v>Iraq</v>
      </c>
    </row>
    <row r="40" spans="13:13" ht="15" customHeight="1">
      <c r="M40" s="11" t="str">
        <f>'Official Results'!J20</f>
        <v>Argentina</v>
      </c>
    </row>
    <row r="41" spans="13:13" ht="15" customHeight="1">
      <c r="M41" s="11" t="str">
        <f>'Official Results'!J21</f>
        <v>Austria</v>
      </c>
    </row>
    <row r="42" spans="13:13" ht="15" customHeight="1">
      <c r="M42" s="11" t="str">
        <f>'Official Results'!J22</f>
        <v>Algeria</v>
      </c>
    </row>
    <row r="43" spans="13:13" ht="15" customHeight="1">
      <c r="M43" s="11" t="str">
        <f>'Official Results'!J23</f>
        <v>Jordan</v>
      </c>
    </row>
    <row r="44" spans="13:13" ht="15" customHeight="1">
      <c r="M44" s="11" t="str">
        <f>'Official Results'!Q20</f>
        <v>Colombia</v>
      </c>
    </row>
    <row r="45" spans="13:13" ht="15" customHeight="1">
      <c r="M45" s="11" t="str">
        <f>'Official Results'!Q21</f>
        <v>Portugal</v>
      </c>
    </row>
    <row r="46" spans="13:13" ht="15" customHeight="1">
      <c r="M46" s="11" t="str">
        <f>'Official Results'!Q22</f>
        <v>Congo DR</v>
      </c>
    </row>
    <row r="47" spans="13:13" ht="15" customHeight="1">
      <c r="M47" s="11" t="str">
        <f>'Official Results'!Q23</f>
        <v>Uzbekistan</v>
      </c>
    </row>
    <row r="48" spans="13:13" ht="15" customHeight="1">
      <c r="M48" s="11" t="str">
        <f>'Official Results'!X20</f>
        <v>England</v>
      </c>
    </row>
    <row r="49" spans="13:13" ht="15" customHeight="1">
      <c r="M49" s="11" t="str">
        <f>'Official Results'!X21</f>
        <v>Croatia</v>
      </c>
    </row>
    <row r="50" spans="13:13" ht="15" customHeight="1">
      <c r="M50" s="11" t="str">
        <f>'Official Results'!X22</f>
        <v>Ghana</v>
      </c>
    </row>
    <row r="51" spans="13:13" ht="15" customHeight="1">
      <c r="M51" s="41" t="str">
        <f>'Official Results'!X23</f>
        <v>Panama</v>
      </c>
    </row>
  </sheetData>
  <mergeCells count="1">
    <mergeCell ref="A1:H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showGridLines="0" zoomScaleNormal="100" workbookViewId="0">
      <selection activeCell="I11" sqref="I11"/>
    </sheetView>
  </sheetViews>
  <sheetFormatPr defaultColWidth="8.7109375" defaultRowHeight="15" customHeight="1"/>
  <cols>
    <col min="1" max="1" width="12" customWidth="1"/>
    <col min="2" max="2" width="28.85546875" customWidth="1"/>
    <col min="3" max="3" width="15" customWidth="1"/>
    <col min="4" max="4" width="10" customWidth="1"/>
    <col min="5" max="5" width="24" customWidth="1"/>
  </cols>
  <sheetData>
    <row r="1" spans="1:5" ht="15" customHeight="1">
      <c r="A1" s="162" t="s">
        <v>54</v>
      </c>
      <c r="B1" s="232"/>
      <c r="C1" s="232"/>
      <c r="D1" s="232"/>
      <c r="E1" s="233"/>
    </row>
    <row r="2" spans="1:5" ht="15" customHeight="1">
      <c r="A2" s="234"/>
      <c r="B2" s="235"/>
      <c r="C2" s="235"/>
      <c r="D2" s="235"/>
      <c r="E2" s="236"/>
    </row>
    <row r="4" spans="1:5" ht="95.65" customHeight="1">
      <c r="A4" s="4" t="s">
        <v>55</v>
      </c>
      <c r="B4" s="4" t="s">
        <v>55</v>
      </c>
      <c r="C4" s="4" t="s">
        <v>55</v>
      </c>
      <c r="D4" s="4" t="s">
        <v>55</v>
      </c>
      <c r="E4" s="4" t="s">
        <v>55</v>
      </c>
    </row>
    <row r="5" spans="1:5" ht="15" customHeight="1">
      <c r="A5" s="42" t="s">
        <v>56</v>
      </c>
      <c r="B5" s="43" t="s">
        <v>57</v>
      </c>
      <c r="C5" s="43" t="s">
        <v>58</v>
      </c>
      <c r="D5" s="43" t="s">
        <v>59</v>
      </c>
      <c r="E5" s="44" t="s">
        <v>60</v>
      </c>
    </row>
    <row r="6" spans="1:5" ht="15" customHeight="1">
      <c r="A6" s="5">
        <v>1</v>
      </c>
      <c r="B6" s="88" t="s">
        <v>61</v>
      </c>
      <c r="C6" s="89">
        <v>0</v>
      </c>
      <c r="D6" s="90" t="s">
        <v>7</v>
      </c>
      <c r="E6" s="91"/>
    </row>
    <row r="7" spans="1:5" ht="15" customHeight="1">
      <c r="A7" s="9">
        <v>2</v>
      </c>
      <c r="B7" s="92" t="s">
        <v>62</v>
      </c>
      <c r="C7" s="93">
        <v>0</v>
      </c>
      <c r="D7" s="94" t="s">
        <v>7</v>
      </c>
      <c r="E7" s="95"/>
    </row>
    <row r="8" spans="1:5" ht="15" customHeight="1">
      <c r="A8" s="9">
        <v>3</v>
      </c>
      <c r="B8" s="92" t="s">
        <v>63</v>
      </c>
      <c r="C8" s="93">
        <v>0</v>
      </c>
      <c r="D8" s="94" t="s">
        <v>7</v>
      </c>
      <c r="E8" s="95"/>
    </row>
    <row r="9" spans="1:5" ht="15.75" customHeight="1">
      <c r="A9" s="9">
        <v>4</v>
      </c>
      <c r="B9" s="92" t="s">
        <v>64</v>
      </c>
      <c r="C9" s="93">
        <v>0</v>
      </c>
      <c r="D9" s="94" t="s">
        <v>7</v>
      </c>
      <c r="E9" s="95"/>
    </row>
    <row r="10" spans="1:5" ht="15" customHeight="1">
      <c r="A10" s="9">
        <v>5</v>
      </c>
      <c r="B10" s="92" t="s">
        <v>65</v>
      </c>
      <c r="C10" s="93">
        <v>0</v>
      </c>
      <c r="D10" s="94" t="s">
        <v>7</v>
      </c>
      <c r="E10" s="95"/>
    </row>
    <row r="11" spans="1:5" ht="15" customHeight="1">
      <c r="A11" s="9">
        <v>6</v>
      </c>
      <c r="B11" s="92" t="s">
        <v>66</v>
      </c>
      <c r="C11" s="93">
        <v>0</v>
      </c>
      <c r="D11" s="94" t="s">
        <v>7</v>
      </c>
      <c r="E11" s="95"/>
    </row>
    <row r="12" spans="1:5" ht="15" customHeight="1">
      <c r="A12" s="9">
        <v>7</v>
      </c>
      <c r="B12" s="92" t="s">
        <v>67</v>
      </c>
      <c r="C12" s="93">
        <v>0</v>
      </c>
      <c r="D12" s="94" t="s">
        <v>7</v>
      </c>
      <c r="E12" s="95"/>
    </row>
    <row r="13" spans="1:5" ht="15" customHeight="1">
      <c r="A13" s="9">
        <v>8</v>
      </c>
      <c r="B13" s="92" t="s">
        <v>68</v>
      </c>
      <c r="C13" s="93">
        <v>0</v>
      </c>
      <c r="D13" s="94" t="s">
        <v>7</v>
      </c>
      <c r="E13" s="95"/>
    </row>
    <row r="14" spans="1:5" ht="15" customHeight="1">
      <c r="A14" s="9">
        <v>9</v>
      </c>
      <c r="B14" s="92" t="s">
        <v>69</v>
      </c>
      <c r="C14" s="93">
        <v>0</v>
      </c>
      <c r="D14" s="94" t="s">
        <v>7</v>
      </c>
      <c r="E14" s="95"/>
    </row>
    <row r="15" spans="1:5" ht="15" customHeight="1">
      <c r="A15" s="9">
        <v>10</v>
      </c>
      <c r="B15" s="92" t="s">
        <v>70</v>
      </c>
      <c r="C15" s="93">
        <v>0</v>
      </c>
      <c r="D15" s="94" t="s">
        <v>7</v>
      </c>
      <c r="E15" s="95"/>
    </row>
    <row r="16" spans="1:5" ht="15" customHeight="1">
      <c r="A16" s="9">
        <v>11</v>
      </c>
      <c r="B16" s="92" t="s">
        <v>71</v>
      </c>
      <c r="C16" s="93">
        <v>0</v>
      </c>
      <c r="D16" s="94" t="s">
        <v>7</v>
      </c>
      <c r="E16" s="95"/>
    </row>
    <row r="17" spans="1:5" ht="15" customHeight="1">
      <c r="A17" s="9">
        <v>12</v>
      </c>
      <c r="B17" s="92" t="s">
        <v>72</v>
      </c>
      <c r="C17" s="93">
        <v>0</v>
      </c>
      <c r="D17" s="94" t="s">
        <v>7</v>
      </c>
      <c r="E17" s="95"/>
    </row>
    <row r="18" spans="1:5" ht="15" customHeight="1">
      <c r="A18" s="9">
        <v>13</v>
      </c>
      <c r="B18" s="92" t="s">
        <v>73</v>
      </c>
      <c r="C18" s="93">
        <v>0</v>
      </c>
      <c r="D18" s="94" t="s">
        <v>7</v>
      </c>
      <c r="E18" s="95"/>
    </row>
    <row r="19" spans="1:5" ht="15" customHeight="1">
      <c r="A19" s="9">
        <v>14</v>
      </c>
      <c r="B19" s="92" t="s">
        <v>74</v>
      </c>
      <c r="C19" s="93">
        <v>0</v>
      </c>
      <c r="D19" s="94" t="s">
        <v>7</v>
      </c>
      <c r="E19" s="95"/>
    </row>
    <row r="20" spans="1:5" ht="15" customHeight="1">
      <c r="A20" s="9">
        <v>15</v>
      </c>
      <c r="B20" s="92" t="s">
        <v>75</v>
      </c>
      <c r="C20" s="93">
        <v>0</v>
      </c>
      <c r="D20" s="94" t="s">
        <v>7</v>
      </c>
      <c r="E20" s="95"/>
    </row>
    <row r="21" spans="1:5" ht="15" customHeight="1">
      <c r="A21" s="9">
        <v>16</v>
      </c>
      <c r="B21" s="92" t="s">
        <v>76</v>
      </c>
      <c r="C21" s="93">
        <v>0</v>
      </c>
      <c r="D21" s="94" t="s">
        <v>7</v>
      </c>
      <c r="E21" s="95"/>
    </row>
    <row r="22" spans="1:5" ht="15" customHeight="1">
      <c r="A22" s="9">
        <v>17</v>
      </c>
      <c r="B22" s="92" t="s">
        <v>77</v>
      </c>
      <c r="C22" s="93">
        <v>0</v>
      </c>
      <c r="D22" s="94" t="s">
        <v>7</v>
      </c>
      <c r="E22" s="95"/>
    </row>
    <row r="23" spans="1:5" ht="15" customHeight="1">
      <c r="A23" s="9">
        <v>18</v>
      </c>
      <c r="B23" s="92" t="s">
        <v>78</v>
      </c>
      <c r="C23" s="93">
        <v>0</v>
      </c>
      <c r="D23" s="94" t="s">
        <v>7</v>
      </c>
      <c r="E23" s="95"/>
    </row>
    <row r="24" spans="1:5" ht="15" customHeight="1">
      <c r="A24" s="9">
        <v>19</v>
      </c>
      <c r="B24" s="92" t="s">
        <v>79</v>
      </c>
      <c r="C24" s="93">
        <v>0</v>
      </c>
      <c r="D24" s="94" t="s">
        <v>7</v>
      </c>
      <c r="E24" s="95"/>
    </row>
    <row r="25" spans="1:5" ht="15" customHeight="1">
      <c r="A25" s="39">
        <v>20</v>
      </c>
      <c r="B25" s="96" t="s">
        <v>80</v>
      </c>
      <c r="C25" s="97">
        <v>0</v>
      </c>
      <c r="D25" s="98" t="s">
        <v>9</v>
      </c>
      <c r="E25" s="99"/>
    </row>
  </sheetData>
  <mergeCells count="1">
    <mergeCell ref="A1:E2"/>
  </mergeCells>
  <dataValidations count="1">
    <dataValidation type="list" allowBlank="1" sqref="D6:D25" xr:uid="{00000000-0002-0000-0100-000000000000}">
      <formula1>"Yes,No"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59"/>
  <sheetViews>
    <sheetView showGridLines="0" topLeftCell="A31" zoomScaleNormal="100" workbookViewId="0">
      <selection activeCell="J233" sqref="J233"/>
    </sheetView>
  </sheetViews>
  <sheetFormatPr defaultColWidth="8.7109375" defaultRowHeight="15" customHeight="1"/>
  <cols>
    <col min="1" max="1" width="11" bestFit="1" customWidth="1"/>
    <col min="2" max="5" width="22.42578125" bestFit="1" customWidth="1"/>
    <col min="6" max="6" width="10" customWidth="1"/>
    <col min="7" max="7" width="12.140625" bestFit="1" customWidth="1"/>
    <col min="8" max="8" width="22.42578125" bestFit="1" customWidth="1"/>
    <col min="9" max="9" width="11.42578125" bestFit="1" customWidth="1"/>
    <col min="10" max="10" width="19.42578125" bestFit="1" customWidth="1"/>
    <col min="11" max="12" width="12" customWidth="1"/>
    <col min="13" max="13" width="12.140625" bestFit="1" customWidth="1"/>
    <col min="14" max="14" width="12" customWidth="1"/>
    <col min="15" max="15" width="18" customWidth="1"/>
    <col min="16" max="16" width="6" customWidth="1"/>
    <col min="17" max="17" width="12" customWidth="1"/>
    <col min="18" max="18" width="16.140625" bestFit="1" customWidth="1"/>
    <col min="19" max="19" width="3.85546875" bestFit="1" customWidth="1"/>
    <col min="20" max="20" width="3.42578125" bestFit="1" customWidth="1"/>
    <col min="21" max="21" width="10" customWidth="1"/>
    <col min="23" max="23" width="4.28515625" bestFit="1" customWidth="1"/>
    <col min="24" max="24" width="11.28515625" bestFit="1" customWidth="1"/>
    <col min="25" max="26" width="3.85546875" bestFit="1" customWidth="1"/>
    <col min="27" max="27" width="3.42578125" bestFit="1" customWidth="1"/>
    <col min="28" max="28" width="10" customWidth="1"/>
  </cols>
  <sheetData>
    <row r="1" spans="1:28" ht="15" customHeight="1">
      <c r="A1" s="162" t="s">
        <v>81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3"/>
    </row>
    <row r="2" spans="1:28" ht="15" customHeight="1">
      <c r="A2" s="234"/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6"/>
    </row>
    <row r="3" spans="1:28" ht="15.6" customHeight="1">
      <c r="B3" s="164" t="s">
        <v>82</v>
      </c>
      <c r="C3" s="237"/>
      <c r="D3" s="237"/>
      <c r="E3" s="237"/>
      <c r="F3" s="237"/>
      <c r="G3" s="238"/>
      <c r="I3" s="164" t="s">
        <v>83</v>
      </c>
      <c r="J3" s="237"/>
      <c r="K3" s="237"/>
      <c r="L3" s="237"/>
      <c r="M3" s="237"/>
      <c r="N3" s="238"/>
      <c r="P3" s="164" t="s">
        <v>84</v>
      </c>
      <c r="Q3" s="237"/>
      <c r="R3" s="237"/>
      <c r="S3" s="237"/>
      <c r="T3" s="237"/>
      <c r="U3" s="238"/>
      <c r="W3" s="164" t="s">
        <v>85</v>
      </c>
      <c r="X3" s="237"/>
      <c r="Y3" s="237"/>
      <c r="Z3" s="237"/>
      <c r="AA3" s="237"/>
      <c r="AB3" s="238"/>
    </row>
    <row r="4" spans="1:28" ht="15" customHeight="1">
      <c r="A4" s="165" t="s">
        <v>86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43"/>
      <c r="T4" s="43"/>
      <c r="U4" s="44"/>
      <c r="W4" s="167" t="s">
        <v>85</v>
      </c>
      <c r="X4" s="240"/>
      <c r="Y4" s="240"/>
      <c r="Z4" s="240"/>
      <c r="AA4" s="240"/>
      <c r="AB4" s="241"/>
    </row>
    <row r="5" spans="1:28" ht="15" customHeight="1">
      <c r="B5" s="1" t="s">
        <v>87</v>
      </c>
      <c r="C5" s="46" t="s">
        <v>88</v>
      </c>
      <c r="D5" s="46" t="s">
        <v>89</v>
      </c>
      <c r="E5" s="46" t="s">
        <v>90</v>
      </c>
      <c r="F5" s="46" t="s">
        <v>91</v>
      </c>
      <c r="G5" s="2" t="s">
        <v>92</v>
      </c>
      <c r="I5" s="1" t="s">
        <v>87</v>
      </c>
      <c r="J5" s="46" t="s">
        <v>88</v>
      </c>
      <c r="K5" s="46" t="s">
        <v>89</v>
      </c>
      <c r="L5" s="46" t="s">
        <v>90</v>
      </c>
      <c r="M5" s="46" t="s">
        <v>91</v>
      </c>
      <c r="N5" s="2" t="s">
        <v>92</v>
      </c>
      <c r="P5" s="1" t="s">
        <v>87</v>
      </c>
      <c r="Q5" s="46" t="s">
        <v>88</v>
      </c>
      <c r="R5" s="46" t="s">
        <v>89</v>
      </c>
      <c r="S5" s="46" t="s">
        <v>90</v>
      </c>
      <c r="T5" s="46" t="s">
        <v>91</v>
      </c>
      <c r="U5" s="2" t="s">
        <v>92</v>
      </c>
      <c r="W5" s="1" t="s">
        <v>87</v>
      </c>
      <c r="X5" s="46" t="s">
        <v>88</v>
      </c>
      <c r="Y5" s="46" t="s">
        <v>89</v>
      </c>
      <c r="Z5" s="46" t="s">
        <v>90</v>
      </c>
      <c r="AA5" s="46" t="s">
        <v>91</v>
      </c>
      <c r="AB5" s="2" t="s">
        <v>92</v>
      </c>
    </row>
    <row r="6" spans="1:28" ht="55.15" customHeight="1">
      <c r="A6" s="13" t="s">
        <v>93</v>
      </c>
      <c r="B6" s="47">
        <v>1</v>
      </c>
      <c r="C6" s="48" t="str">
        <f>INDEX($B$135:$B$138,MATCH($B6,$L$135:$L$138,0))</f>
        <v>Mexico</v>
      </c>
      <c r="D6" s="49">
        <f>INDEX($J$135:$J$138,MATCH($B6,$L$135:$L$138,0))</f>
        <v>9</v>
      </c>
      <c r="E6" s="49">
        <f>INDEX($I$135:$I$138,MATCH($B6,$L$135:$L$138,0))</f>
        <v>6</v>
      </c>
      <c r="F6" s="49">
        <f>INDEX($G$135:$G$138,MATCH($B6,$L$135:$L$138,0))</f>
        <v>6</v>
      </c>
      <c r="G6" s="50" t="str">
        <f>INDEX($N$135:$N$138,MATCH($B6,$L$135:$L$138,0))</f>
        <v>Yes</v>
      </c>
      <c r="H6" s="14" t="s">
        <v>93</v>
      </c>
      <c r="I6" s="47">
        <v>1</v>
      </c>
      <c r="J6" s="48" t="str">
        <f>INDEX($B$139:$B$142,MATCH($I6,$L$139:$L$142,0))</f>
        <v>Switzerland</v>
      </c>
      <c r="K6" s="49">
        <f>INDEX($J$139:$J$142,MATCH($I6,$L$139:$L$142,0))</f>
        <v>7</v>
      </c>
      <c r="L6" s="49">
        <f>INDEX($I$139:$I$142,MATCH($I6,$L$139:$L$142,0))</f>
        <v>4</v>
      </c>
      <c r="M6" s="49">
        <f>INDEX($G$139:$G$142,MATCH($I6,$L$139:$L$142,0))</f>
        <v>7</v>
      </c>
      <c r="N6" s="50" t="str">
        <f>INDEX($N$139:$N$142,MATCH($I6,$L$139:$L$142,0))</f>
        <v>Yes</v>
      </c>
      <c r="O6" s="14" t="s">
        <v>93</v>
      </c>
      <c r="P6" s="47">
        <v>1</v>
      </c>
      <c r="Q6" s="48" t="str">
        <f>INDEX($B$143:$B$146,MATCH($P6,$L$143:$L$146,0))</f>
        <v>Brazil</v>
      </c>
      <c r="R6" s="49">
        <f>INDEX($J$143:$J$146,MATCH($P6,$L$143:$L$146,0))</f>
        <v>7</v>
      </c>
      <c r="S6" s="51">
        <f>INDEX($I$143:$I$146,MATCH($P6,$L$143:$L$146,0))</f>
        <v>6</v>
      </c>
      <c r="T6" s="51">
        <f>INDEX($G$143:$G$146,MATCH($P6,$L$143:$L$146,0))</f>
        <v>7</v>
      </c>
      <c r="U6" s="52" t="str">
        <f>INDEX($N$143:$N$146,MATCH($P6,$L$143:$L$146,0))</f>
        <v>Yes</v>
      </c>
      <c r="W6" s="5">
        <v>1</v>
      </c>
      <c r="X6" s="53" t="str">
        <f>INDEX($B$147:$B$150,MATCH($W6,$L$147:$L$150,0))</f>
        <v>United States</v>
      </c>
      <c r="Y6" s="51">
        <f>INDEX($J$147:$J$150,MATCH($W6,$L$147:$L$150,0))</f>
        <v>6</v>
      </c>
      <c r="Z6" s="51">
        <f>INDEX($I$147:$I$150,MATCH($W6,$L$147:$L$150,0))</f>
        <v>4</v>
      </c>
      <c r="AA6" s="51">
        <f>INDEX($G$147:$G$150,MATCH($W6,$L$147:$L$150,0))</f>
        <v>8</v>
      </c>
      <c r="AB6" s="52" t="str">
        <f>INDEX($N$147:$N$150,MATCH($W6,$L$147:$L$150,0))</f>
        <v>Yes</v>
      </c>
    </row>
    <row r="7" spans="1:28" ht="15" customHeight="1">
      <c r="B7" s="9">
        <v>2</v>
      </c>
      <c r="C7" s="53" t="str">
        <f>INDEX($B$135:$B$138,MATCH($B7,$L$135:$L$138,0))</f>
        <v>South Africa</v>
      </c>
      <c r="D7" s="51">
        <f>INDEX($J$135:$J$138,MATCH($B7,$L$135:$L$138,0))</f>
        <v>4</v>
      </c>
      <c r="E7" s="51">
        <f>INDEX($I$135:$I$138,MATCH($B7,$L$135:$L$138,0))</f>
        <v>-1</v>
      </c>
      <c r="F7" s="51">
        <f>INDEX($G$135:$G$138,MATCH($B7,$L$135:$L$138,0))</f>
        <v>2</v>
      </c>
      <c r="G7" s="52" t="str">
        <f>INDEX($N$135:$N$138,MATCH($B7,$L$135:$L$138,0))</f>
        <v>Yes</v>
      </c>
      <c r="I7" s="9">
        <v>2</v>
      </c>
      <c r="J7" s="53" t="str">
        <f>INDEX($B$139:$B$142,MATCH($I7,$L$139:$L$142,0))</f>
        <v>Canada</v>
      </c>
      <c r="K7" s="51">
        <f>INDEX($J$139:$J$142,MATCH($I7,$L$139:$L$142,0))</f>
        <v>4</v>
      </c>
      <c r="L7" s="51">
        <f>INDEX($I$139:$I$142,MATCH($I7,$L$139:$L$142,0))</f>
        <v>5</v>
      </c>
      <c r="M7" s="51">
        <f>INDEX($G$139:$G$142,MATCH($I7,$L$139:$L$142,0))</f>
        <v>8</v>
      </c>
      <c r="N7" s="52" t="str">
        <f>INDEX($N$139:$N$142,MATCH($I7,$L$139:$L$142,0))</f>
        <v>Yes</v>
      </c>
      <c r="P7" s="9">
        <v>2</v>
      </c>
      <c r="Q7" s="53" t="str">
        <f>INDEX($B$143:$B$146,MATCH($P7,$L$143:$L$146,0))</f>
        <v>Morocco</v>
      </c>
      <c r="R7" s="51">
        <f>INDEX($J$143:$J$146,MATCH($P7,$L$143:$L$146,0))</f>
        <v>7</v>
      </c>
      <c r="S7" s="51">
        <f>INDEX($I$143:$I$146,MATCH($P7,$L$143:$L$146,0))</f>
        <v>3</v>
      </c>
      <c r="T7" s="51">
        <f>INDEX($G$143:$G$146,MATCH($P7,$L$143:$L$146,0))</f>
        <v>6</v>
      </c>
      <c r="U7" s="52" t="str">
        <f>INDEX($N$143:$N$146,MATCH($P7,$L$143:$L$146,0))</f>
        <v>Yes</v>
      </c>
      <c r="W7" s="9">
        <v>2</v>
      </c>
      <c r="X7" s="53" t="str">
        <f>INDEX($B$147:$B$150,MATCH($W7,$L$147:$L$150,0))</f>
        <v>Australia</v>
      </c>
      <c r="Y7" s="51">
        <f>INDEX($J$147:$J$150,MATCH($W7,$L$147:$L$150,0))</f>
        <v>4</v>
      </c>
      <c r="Z7" s="51">
        <f>INDEX($I$147:$I$150,MATCH($W7,$L$147:$L$150,0))</f>
        <v>0</v>
      </c>
      <c r="AA7" s="51">
        <f>INDEX($G$147:$G$150,MATCH($W7,$L$147:$L$150,0))</f>
        <v>2</v>
      </c>
      <c r="AB7" s="52" t="str">
        <f>INDEX($N$147:$N$150,MATCH($W7,$L$147:$L$150,0))</f>
        <v>Yes</v>
      </c>
    </row>
    <row r="8" spans="1:28" ht="15" customHeight="1">
      <c r="B8" s="9">
        <v>3</v>
      </c>
      <c r="C8" s="53" t="str">
        <f>INDEX($B$135:$B$138,MATCH($B8,$L$135:$L$138,0))</f>
        <v>Korea Republic</v>
      </c>
      <c r="D8" s="51">
        <f>INDEX($J$135:$J$138,MATCH($B8,$L$135:$L$138,0))</f>
        <v>3</v>
      </c>
      <c r="E8" s="51">
        <f>INDEX($I$135:$I$138,MATCH($B8,$L$135:$L$138,0))</f>
        <v>-1</v>
      </c>
      <c r="F8" s="51">
        <f>INDEX($G$135:$G$138,MATCH($B8,$L$135:$L$138,0))</f>
        <v>2</v>
      </c>
      <c r="G8" s="54" t="str">
        <f>INDEX($N$135:$N$138,MATCH($B8,$L$135:$L$138,0))</f>
        <v>No</v>
      </c>
      <c r="I8" s="9">
        <v>3</v>
      </c>
      <c r="J8" s="53" t="str">
        <f>INDEX($B$139:$B$142,MATCH($I8,$L$139:$L$142,0))</f>
        <v>Bosnia and Herzegovina</v>
      </c>
      <c r="K8" s="51">
        <f>INDEX($J$139:$J$142,MATCH($I8,$L$139:$L$142,0))</f>
        <v>4</v>
      </c>
      <c r="L8" s="51">
        <f>INDEX($I$139:$I$142,MATCH($I8,$L$139:$L$142,0))</f>
        <v>-1</v>
      </c>
      <c r="M8" s="51">
        <f>INDEX($G$139:$G$142,MATCH($I8,$L$139:$L$142,0))</f>
        <v>5</v>
      </c>
      <c r="N8" s="54" t="str">
        <f>INDEX($N$139:$N$142,MATCH($I8,$L$139:$L$142,0))</f>
        <v>Yes</v>
      </c>
      <c r="P8" s="9">
        <v>3</v>
      </c>
      <c r="Q8" s="53" t="str">
        <f>INDEX($B$143:$B$146,MATCH($P8,$L$143:$L$146,0))</f>
        <v>Scotland</v>
      </c>
      <c r="R8" s="51">
        <f>INDEX($J$143:$J$146,MATCH($P8,$L$143:$L$146,0))</f>
        <v>3</v>
      </c>
      <c r="S8" s="51">
        <f>INDEX($I$143:$I$146,MATCH($P8,$L$143:$L$146,0))</f>
        <v>-3</v>
      </c>
      <c r="T8" s="51">
        <f>INDEX($G$143:$G$146,MATCH($P8,$L$143:$L$146,0))</f>
        <v>1</v>
      </c>
      <c r="U8" s="54" t="str">
        <f>INDEX($N$143:$N$146,MATCH($P8,$L$143:$L$146,0))</f>
        <v>No</v>
      </c>
      <c r="W8" s="9">
        <v>3</v>
      </c>
      <c r="X8" s="53" t="str">
        <f>INDEX($B$147:$B$150,MATCH($W8,$L$147:$L$150,0))</f>
        <v>Paraguay</v>
      </c>
      <c r="Y8" s="51">
        <f>INDEX($J$147:$J$150,MATCH($W8,$L$147:$L$150,0))</f>
        <v>4</v>
      </c>
      <c r="Z8" s="51">
        <f>INDEX($I$147:$I$150,MATCH($W8,$L$147:$L$150,0))</f>
        <v>-2</v>
      </c>
      <c r="AA8" s="51">
        <f>INDEX($G$147:$G$150,MATCH($W8,$L$147:$L$150,0))</f>
        <v>2</v>
      </c>
      <c r="AB8" s="54" t="str">
        <f>INDEX($N$147:$N$150,MATCH($W8,$L$147:$L$150,0))</f>
        <v>Yes</v>
      </c>
    </row>
    <row r="9" spans="1:28" ht="15" customHeight="1">
      <c r="B9" s="39">
        <v>4</v>
      </c>
      <c r="C9" s="53" t="str">
        <f>INDEX($B$135:$B$138,MATCH($B9,$L$135:$L$138,0))</f>
        <v>Czechia</v>
      </c>
      <c r="D9" s="51">
        <f>INDEX($J$135:$J$138,MATCH($B9,$L$135:$L$138,0))</f>
        <v>1</v>
      </c>
      <c r="E9" s="51">
        <f>INDEX($I$135:$I$138,MATCH($B9,$L$135:$L$138,0))</f>
        <v>-4</v>
      </c>
      <c r="F9" s="51">
        <f>INDEX($G$135:$G$138,MATCH($B9,$L$135:$L$138,0))</f>
        <v>2</v>
      </c>
      <c r="G9" s="52" t="str">
        <f>INDEX($N$135:$N$138,MATCH($B9,$L$135:$L$138,0))</f>
        <v>No</v>
      </c>
      <c r="I9" s="39">
        <v>4</v>
      </c>
      <c r="J9" s="53" t="str">
        <f>INDEX($B$139:$B$142,MATCH($I9,$L$139:$L$142,0))</f>
        <v>Qatar</v>
      </c>
      <c r="K9" s="51">
        <f>INDEX($J$139:$J$142,MATCH($I9,$L$139:$L$142,0))</f>
        <v>1</v>
      </c>
      <c r="L9" s="51">
        <f>INDEX($I$139:$I$142,MATCH($I9,$L$139:$L$142,0))</f>
        <v>-8</v>
      </c>
      <c r="M9" s="51">
        <f>INDEX($G$139:$G$142,MATCH($I9,$L$139:$L$142,0))</f>
        <v>2</v>
      </c>
      <c r="N9" s="52" t="str">
        <f>INDEX($N$139:$N$142,MATCH($I9,$L$139:$L$142,0))</f>
        <v>No</v>
      </c>
      <c r="P9" s="39">
        <v>4</v>
      </c>
      <c r="Q9" s="53" t="str">
        <f>INDEX($B$143:$B$146,MATCH($P9,$L$143:$L$146,0))</f>
        <v>Haiti</v>
      </c>
      <c r="R9" s="51">
        <f>INDEX($J$143:$J$146,MATCH($P9,$L$143:$L$146,0))</f>
        <v>0</v>
      </c>
      <c r="S9" s="51">
        <f>INDEX($I$143:$I$146,MATCH($P9,$L$143:$L$146,0))</f>
        <v>-6</v>
      </c>
      <c r="T9" s="51">
        <f>INDEX($G$143:$G$146,MATCH($P9,$L$143:$L$146,0))</f>
        <v>2</v>
      </c>
      <c r="U9" s="52" t="str">
        <f>INDEX($N$143:$N$146,MATCH($P9,$L$143:$L$146,0))</f>
        <v>No</v>
      </c>
      <c r="W9" s="39">
        <v>4</v>
      </c>
      <c r="X9" s="53" t="str">
        <f>INDEX($B$147:$B$150,MATCH($W9,$L$147:$L$150,0))</f>
        <v>Türkiye</v>
      </c>
      <c r="Y9" s="51">
        <f>INDEX($J$147:$J$150,MATCH($W9,$L$147:$L$150,0))</f>
        <v>3</v>
      </c>
      <c r="Z9" s="51">
        <f>INDEX($I$147:$I$150,MATCH($W9,$L$147:$L$150,0))</f>
        <v>-2</v>
      </c>
      <c r="AA9" s="51">
        <f>INDEX($G$147:$G$150,MATCH($W9,$L$147:$L$150,0))</f>
        <v>3</v>
      </c>
      <c r="AB9" s="52" t="str">
        <f>INDEX($N$147:$N$150,MATCH($W9,$L$147:$L$150,0))</f>
        <v>No</v>
      </c>
    </row>
    <row r="11" spans="1:28" ht="15" customHeight="1">
      <c r="B11" s="164" t="s">
        <v>94</v>
      </c>
      <c r="C11" s="237"/>
      <c r="D11" s="237"/>
      <c r="E11" s="237"/>
      <c r="F11" s="237"/>
      <c r="G11" s="238"/>
      <c r="I11" s="164" t="s">
        <v>95</v>
      </c>
      <c r="J11" s="237"/>
      <c r="K11" s="237"/>
      <c r="L11" s="237"/>
      <c r="M11" s="237"/>
      <c r="N11" s="238"/>
      <c r="P11" s="164" t="s">
        <v>96</v>
      </c>
      <c r="Q11" s="237"/>
      <c r="R11" s="237"/>
      <c r="S11" s="237"/>
      <c r="T11" s="237"/>
      <c r="U11" s="238"/>
      <c r="W11" s="164" t="s">
        <v>97</v>
      </c>
      <c r="X11" s="237"/>
      <c r="Y11" s="237"/>
      <c r="Z11" s="237"/>
      <c r="AA11" s="237"/>
      <c r="AB11" s="238"/>
    </row>
    <row r="12" spans="1:28" ht="15" customHeight="1">
      <c r="B12" s="1" t="s">
        <v>87</v>
      </c>
      <c r="C12" s="46" t="s">
        <v>88</v>
      </c>
      <c r="D12" s="46" t="s">
        <v>89</v>
      </c>
      <c r="E12" s="46" t="s">
        <v>90</v>
      </c>
      <c r="F12" s="46" t="s">
        <v>91</v>
      </c>
      <c r="G12" s="2" t="s">
        <v>92</v>
      </c>
      <c r="I12" s="1" t="s">
        <v>87</v>
      </c>
      <c r="J12" s="46" t="s">
        <v>88</v>
      </c>
      <c r="K12" s="46" t="s">
        <v>89</v>
      </c>
      <c r="L12" s="46" t="s">
        <v>90</v>
      </c>
      <c r="M12" s="46" t="s">
        <v>91</v>
      </c>
      <c r="N12" s="2" t="s">
        <v>92</v>
      </c>
      <c r="P12" s="1" t="s">
        <v>87</v>
      </c>
      <c r="Q12" s="46" t="s">
        <v>88</v>
      </c>
      <c r="R12" s="46" t="s">
        <v>89</v>
      </c>
      <c r="S12" s="46" t="s">
        <v>90</v>
      </c>
      <c r="T12" s="46" t="s">
        <v>91</v>
      </c>
      <c r="U12" s="2" t="s">
        <v>92</v>
      </c>
      <c r="W12" s="1" t="s">
        <v>87</v>
      </c>
      <c r="X12" s="46" t="s">
        <v>88</v>
      </c>
      <c r="Y12" s="46" t="s">
        <v>89</v>
      </c>
      <c r="Z12" s="46" t="s">
        <v>90</v>
      </c>
      <c r="AA12" s="46" t="s">
        <v>91</v>
      </c>
      <c r="AB12" s="2" t="s">
        <v>92</v>
      </c>
    </row>
    <row r="13" spans="1:28" ht="15" customHeight="1">
      <c r="B13" s="5">
        <v>1</v>
      </c>
      <c r="C13" s="53" t="str">
        <f>INDEX($B$151:$B$154,MATCH($B13,$L$151:$L$154,0))</f>
        <v>Germany</v>
      </c>
      <c r="D13" s="51">
        <f>INDEX($J$151:$J$154,MATCH($B13,$L$151:$L$154,0))</f>
        <v>6</v>
      </c>
      <c r="E13" s="51">
        <f>INDEX($I$151:$I$154,MATCH($B13,$L$151:$L$154,0))</f>
        <v>6</v>
      </c>
      <c r="F13" s="51">
        <f>INDEX($G$151:$G$154,MATCH($B13,$L$151:$L$154,0))</f>
        <v>10</v>
      </c>
      <c r="G13" s="52" t="str">
        <f>INDEX($N$151:$N$154,MATCH($B13,$L$151:$L$154,0))</f>
        <v>Yes</v>
      </c>
      <c r="I13" s="5">
        <v>1</v>
      </c>
      <c r="J13" s="53" t="str">
        <f>INDEX($B$155:$B$158,MATCH($I13,$L$155:$L$158,0))</f>
        <v>Netherlands</v>
      </c>
      <c r="K13" s="51">
        <f>INDEX($J$155:$J$158,MATCH($I13,$L$155:$L$158,0))</f>
        <v>7</v>
      </c>
      <c r="L13" s="51">
        <f>INDEX($I$155:$I$158,MATCH($I13,$L$155:$L$158,0))</f>
        <v>6</v>
      </c>
      <c r="M13" s="51">
        <f>INDEX($G$155:$G$158,MATCH($I13,$L$155:$L$158,0))</f>
        <v>10</v>
      </c>
      <c r="N13" s="52" t="str">
        <f>INDEX($N$155:$N$158,MATCH($I13,$L$155:$L$158,0))</f>
        <v>Yes</v>
      </c>
      <c r="P13" s="5">
        <v>1</v>
      </c>
      <c r="Q13" s="53" t="str">
        <f>INDEX($B$159:$B$162,MATCH($P13,$L$159:$L$162,0))</f>
        <v>Belgium</v>
      </c>
      <c r="R13" s="51">
        <f>INDEX($J$159:$J$162,MATCH($P13,$L$159:$L$162,0))</f>
        <v>5</v>
      </c>
      <c r="S13" s="51">
        <f>INDEX($I$159:$I$162,MATCH($P13,$L$159:$L$162,0))</f>
        <v>4</v>
      </c>
      <c r="T13" s="51">
        <f>INDEX($G$159:$G$162,MATCH($P13,$L$159:$L$162,0))</f>
        <v>6</v>
      </c>
      <c r="U13" s="52" t="str">
        <f>INDEX($N$159:$N$162,MATCH($P13,$L$159:$L$162,0))</f>
        <v>Yes</v>
      </c>
      <c r="W13" s="5">
        <v>1</v>
      </c>
      <c r="X13" s="53" t="str">
        <f>INDEX($B$163:$B$166,MATCH($W13,$L$163:$L$166,0))</f>
        <v>Spain</v>
      </c>
      <c r="Y13" s="51">
        <f>INDEX($J$163:$J$166,MATCH($W13,$L$163:$L$166,0))</f>
        <v>7</v>
      </c>
      <c r="Z13" s="51">
        <f>INDEX($I$163:$I$166,MATCH($W13,$L$163:$L$166,0))</f>
        <v>5</v>
      </c>
      <c r="AA13" s="51">
        <f>INDEX($G$163:$G$166,MATCH($W13,$L$163:$L$166,0))</f>
        <v>5</v>
      </c>
      <c r="AB13" s="52" t="str">
        <f>INDEX($N$163:$N$166,MATCH($W13,$L$163:$L$166,0))</f>
        <v>Yes</v>
      </c>
    </row>
    <row r="14" spans="1:28" ht="15" customHeight="1">
      <c r="B14" s="9">
        <v>2</v>
      </c>
      <c r="C14" s="53" t="str">
        <f>INDEX($B$151:$B$154,MATCH($B14,$L$151:$L$154,0))</f>
        <v>Côte d'Ivoire</v>
      </c>
      <c r="D14" s="51">
        <f>INDEX($J$151:$J$154,MATCH($B14,$L$151:$L$154,0))</f>
        <v>6</v>
      </c>
      <c r="E14" s="51">
        <f>INDEX($I$151:$I$154,MATCH($B14,$L$151:$L$154,0))</f>
        <v>2</v>
      </c>
      <c r="F14" s="51">
        <f>INDEX($G$151:$G$154,MATCH($B14,$L$151:$L$154,0))</f>
        <v>4</v>
      </c>
      <c r="G14" s="52" t="str">
        <f>INDEX($N$151:$N$154,MATCH($B14,$L$151:$L$154,0))</f>
        <v>Yes</v>
      </c>
      <c r="I14" s="9">
        <v>2</v>
      </c>
      <c r="J14" s="53" t="str">
        <f>INDEX($B$155:$B$158,MATCH($I14,$L$155:$L$158,0))</f>
        <v>Japan</v>
      </c>
      <c r="K14" s="51">
        <f>INDEX($J$155:$J$158,MATCH($I14,$L$155:$L$158,0))</f>
        <v>5</v>
      </c>
      <c r="L14" s="51">
        <f>INDEX($I$155:$I$158,MATCH($I14,$L$155:$L$158,0))</f>
        <v>4</v>
      </c>
      <c r="M14" s="51">
        <f>INDEX($G$155:$G$158,MATCH($I14,$L$155:$L$158,0))</f>
        <v>7</v>
      </c>
      <c r="N14" s="52" t="str">
        <f>INDEX($N$155:$N$158,MATCH($I14,$L$155:$L$158,0))</f>
        <v>Yes</v>
      </c>
      <c r="P14" s="9">
        <v>2</v>
      </c>
      <c r="Q14" s="53" t="str">
        <f>INDEX($B$159:$B$162,MATCH($P14,$L$159:$L$162,0))</f>
        <v>Egypt</v>
      </c>
      <c r="R14" s="51">
        <f>INDEX($J$159:$J$162,MATCH($P14,$L$159:$L$162,0))</f>
        <v>5</v>
      </c>
      <c r="S14" s="51">
        <f>INDEX($I$159:$I$162,MATCH($P14,$L$159:$L$162,0))</f>
        <v>2</v>
      </c>
      <c r="T14" s="51">
        <f>INDEX($G$159:$G$162,MATCH($P14,$L$159:$L$162,0))</f>
        <v>5</v>
      </c>
      <c r="U14" s="52" t="str">
        <f>INDEX($N$159:$N$162,MATCH($P14,$L$159:$L$162,0))</f>
        <v>Yes</v>
      </c>
      <c r="W14" s="9">
        <v>2</v>
      </c>
      <c r="X14" s="53" t="str">
        <f>INDEX($B$163:$B$166,MATCH($W14,$L$163:$L$166,0))</f>
        <v>Cabo Verde</v>
      </c>
      <c r="Y14" s="51">
        <f>INDEX($J$163:$J$166,MATCH($W14,$L$163:$L$166,0))</f>
        <v>3</v>
      </c>
      <c r="Z14" s="51">
        <f>INDEX($I$163:$I$166,MATCH($W14,$L$163:$L$166,0))</f>
        <v>0</v>
      </c>
      <c r="AA14" s="51">
        <f>INDEX($G$163:$G$166,MATCH($W14,$L$163:$L$166,0))</f>
        <v>2</v>
      </c>
      <c r="AB14" s="52" t="str">
        <f>INDEX($N$163:$N$166,MATCH($W14,$L$163:$L$166,0))</f>
        <v>Yes</v>
      </c>
    </row>
    <row r="15" spans="1:28" ht="15" customHeight="1">
      <c r="B15" s="9">
        <v>3</v>
      </c>
      <c r="C15" s="53" t="str">
        <f>INDEX($B$151:$B$154,MATCH($B15,$L$151:$L$154,0))</f>
        <v>Ecuador</v>
      </c>
      <c r="D15" s="51">
        <f>INDEX($J$151:$J$154,MATCH($B15,$L$151:$L$154,0))</f>
        <v>4</v>
      </c>
      <c r="E15" s="51">
        <f>INDEX($I$151:$I$154,MATCH($B15,$L$151:$L$154,0))</f>
        <v>0</v>
      </c>
      <c r="F15" s="51">
        <f>INDEX($G$151:$G$154,MATCH($B15,$L$151:$L$154,0))</f>
        <v>2</v>
      </c>
      <c r="G15" s="54" t="str">
        <f>INDEX($N$151:$N$154,MATCH($B15,$L$151:$L$154,0))</f>
        <v>Yes</v>
      </c>
      <c r="I15" s="9">
        <v>3</v>
      </c>
      <c r="J15" s="53" t="str">
        <f>INDEX($B$155:$B$158,MATCH($I15,$L$155:$L$158,0))</f>
        <v>Sweden</v>
      </c>
      <c r="K15" s="51">
        <f>INDEX($J$155:$J$158,MATCH($I15,$L$155:$L$158,0))</f>
        <v>4</v>
      </c>
      <c r="L15" s="51">
        <f>INDEX($I$155:$I$158,MATCH($I15,$L$155:$L$158,0))</f>
        <v>0</v>
      </c>
      <c r="M15" s="51">
        <f>INDEX($G$155:$G$158,MATCH($I15,$L$155:$L$158,0))</f>
        <v>7</v>
      </c>
      <c r="N15" s="54" t="str">
        <f>INDEX($N$155:$N$158,MATCH($I15,$L$155:$L$158,0))</f>
        <v>Yes</v>
      </c>
      <c r="P15" s="9">
        <v>3</v>
      </c>
      <c r="Q15" s="53" t="str">
        <f>INDEX($B$159:$B$162,MATCH($P15,$L$159:$L$162,0))</f>
        <v>IR Iran</v>
      </c>
      <c r="R15" s="51">
        <f>INDEX($J$159:$J$162,MATCH($P15,$L$159:$L$162,0))</f>
        <v>3</v>
      </c>
      <c r="S15" s="51">
        <f>INDEX($I$159:$I$162,MATCH($P15,$L$159:$L$162,0))</f>
        <v>0</v>
      </c>
      <c r="T15" s="51">
        <f>INDEX($G$159:$G$162,MATCH($P15,$L$159:$L$162,0))</f>
        <v>3</v>
      </c>
      <c r="U15" s="54" t="str">
        <f>INDEX($N$159:$N$162,MATCH($P15,$L$159:$L$162,0))</f>
        <v>No</v>
      </c>
      <c r="W15" s="9">
        <v>3</v>
      </c>
      <c r="X15" s="53" t="str">
        <f>INDEX($B$163:$B$166,MATCH($W15,$L$163:$L$166,0))</f>
        <v>Uruguay</v>
      </c>
      <c r="Y15" s="51">
        <f>INDEX($J$163:$J$166,MATCH($W15,$L$163:$L$166,0))</f>
        <v>2</v>
      </c>
      <c r="Z15" s="51">
        <f>INDEX($I$163:$I$166,MATCH($W15,$L$163:$L$166,0))</f>
        <v>-1</v>
      </c>
      <c r="AA15" s="51">
        <f>INDEX($G$163:$G$166,MATCH($W15,$L$163:$L$166,0))</f>
        <v>3</v>
      </c>
      <c r="AB15" s="54" t="str">
        <f>INDEX($N$163:$N$166,MATCH($W15,$L$163:$L$166,0))</f>
        <v>No</v>
      </c>
    </row>
    <row r="16" spans="1:28" ht="15" customHeight="1">
      <c r="B16" s="39">
        <v>4</v>
      </c>
      <c r="C16" s="53" t="str">
        <f>INDEX($B$151:$B$154,MATCH($B16,$L$151:$L$154,0))</f>
        <v>Curaçao</v>
      </c>
      <c r="D16" s="51">
        <f>INDEX($J$151:$J$154,MATCH($B16,$L$151:$L$154,0))</f>
        <v>1</v>
      </c>
      <c r="E16" s="51">
        <f>INDEX($I$151:$I$154,MATCH($B16,$L$151:$L$154,0))</f>
        <v>-8</v>
      </c>
      <c r="F16" s="51">
        <f>INDEX($G$151:$G$154,MATCH($B16,$L$151:$L$154,0))</f>
        <v>1</v>
      </c>
      <c r="G16" s="52" t="str">
        <f>INDEX($N$151:$N$154,MATCH($B16,$L$151:$L$154,0))</f>
        <v>No</v>
      </c>
      <c r="I16" s="39">
        <v>4</v>
      </c>
      <c r="J16" s="53" t="str">
        <f>INDEX($B$155:$B$158,MATCH($I16,$L$155:$L$158,0))</f>
        <v>Tunisia</v>
      </c>
      <c r="K16" s="51">
        <f>INDEX($J$155:$J$158,MATCH($I16,$L$155:$L$158,0))</f>
        <v>0</v>
      </c>
      <c r="L16" s="51">
        <f>INDEX($I$155:$I$158,MATCH($I16,$L$155:$L$158,0))</f>
        <v>-10</v>
      </c>
      <c r="M16" s="51">
        <f>INDEX($G$155:$G$158,MATCH($I16,$L$155:$L$158,0))</f>
        <v>2</v>
      </c>
      <c r="N16" s="52" t="str">
        <f>INDEX($N$155:$N$158,MATCH($I16,$L$155:$L$158,0))</f>
        <v>No</v>
      </c>
      <c r="P16" s="39">
        <v>4</v>
      </c>
      <c r="Q16" s="53" t="str">
        <f>INDEX($B$159:$B$162,MATCH($P16,$L$159:$L$162,0))</f>
        <v>New Zealand</v>
      </c>
      <c r="R16" s="51">
        <f>INDEX($J$159:$J$162,MATCH($P16,$L$159:$L$162,0))</f>
        <v>1</v>
      </c>
      <c r="S16" s="51">
        <f>INDEX($I$159:$I$162,MATCH($P16,$L$159:$L$162,0))</f>
        <v>-6</v>
      </c>
      <c r="T16" s="51">
        <f>INDEX($G$159:$G$162,MATCH($P16,$L$159:$L$162,0))</f>
        <v>4</v>
      </c>
      <c r="U16" s="52" t="str">
        <f>INDEX($N$159:$N$162,MATCH($P16,$L$159:$L$162,0))</f>
        <v>No</v>
      </c>
      <c r="W16" s="39">
        <v>4</v>
      </c>
      <c r="X16" s="53" t="str">
        <f>INDEX($B$163:$B$166,MATCH($W16,$L$163:$L$166,0))</f>
        <v>Saudi Arabia</v>
      </c>
      <c r="Y16" s="51">
        <f>INDEX($J$163:$J$166,MATCH($W16,$L$163:$L$166,0))</f>
        <v>2</v>
      </c>
      <c r="Z16" s="51">
        <f>INDEX($I$163:$I$166,MATCH($W16,$L$163:$L$166,0))</f>
        <v>-4</v>
      </c>
      <c r="AA16" s="51">
        <f>INDEX($G$163:$G$166,MATCH($W16,$L$163:$L$166,0))</f>
        <v>1</v>
      </c>
      <c r="AB16" s="52" t="str">
        <f>INDEX($N$163:$N$166,MATCH($W16,$L$163:$L$166,0))</f>
        <v>No</v>
      </c>
    </row>
    <row r="18" spans="1:28" ht="15" customHeight="1">
      <c r="B18" s="164" t="s">
        <v>98</v>
      </c>
      <c r="C18" s="237"/>
      <c r="D18" s="237"/>
      <c r="E18" s="237"/>
      <c r="F18" s="237"/>
      <c r="G18" s="238"/>
      <c r="I18" s="164" t="s">
        <v>99</v>
      </c>
      <c r="J18" s="237"/>
      <c r="K18" s="237"/>
      <c r="L18" s="237"/>
      <c r="M18" s="237"/>
      <c r="N18" s="238"/>
      <c r="P18" s="164" t="s">
        <v>100</v>
      </c>
      <c r="Q18" s="237"/>
      <c r="R18" s="237"/>
      <c r="S18" s="237"/>
      <c r="T18" s="237"/>
      <c r="U18" s="238"/>
      <c r="W18" s="164" t="s">
        <v>101</v>
      </c>
      <c r="X18" s="237"/>
      <c r="Y18" s="237"/>
      <c r="Z18" s="237"/>
      <c r="AA18" s="237"/>
      <c r="AB18" s="238"/>
    </row>
    <row r="19" spans="1:28" ht="15" customHeight="1">
      <c r="B19" s="1" t="s">
        <v>87</v>
      </c>
      <c r="C19" s="46" t="s">
        <v>88</v>
      </c>
      <c r="D19" s="46" t="s">
        <v>89</v>
      </c>
      <c r="E19" s="46" t="s">
        <v>90</v>
      </c>
      <c r="F19" s="46" t="s">
        <v>91</v>
      </c>
      <c r="G19" s="2" t="s">
        <v>92</v>
      </c>
      <c r="I19" s="1" t="s">
        <v>87</v>
      </c>
      <c r="J19" s="46" t="s">
        <v>88</v>
      </c>
      <c r="K19" s="46" t="s">
        <v>89</v>
      </c>
      <c r="L19" s="46" t="s">
        <v>90</v>
      </c>
      <c r="M19" s="46" t="s">
        <v>91</v>
      </c>
      <c r="N19" s="2" t="s">
        <v>92</v>
      </c>
      <c r="P19" s="1" t="s">
        <v>87</v>
      </c>
      <c r="Q19" s="46" t="s">
        <v>88</v>
      </c>
      <c r="R19" s="46" t="s">
        <v>89</v>
      </c>
      <c r="S19" s="46" t="s">
        <v>90</v>
      </c>
      <c r="T19" s="46" t="s">
        <v>91</v>
      </c>
      <c r="U19" s="2" t="s">
        <v>92</v>
      </c>
      <c r="W19" s="1" t="s">
        <v>87</v>
      </c>
      <c r="X19" s="46" t="s">
        <v>88</v>
      </c>
      <c r="Y19" s="46" t="s">
        <v>89</v>
      </c>
      <c r="Z19" s="46" t="s">
        <v>90</v>
      </c>
      <c r="AA19" s="46" t="s">
        <v>91</v>
      </c>
      <c r="AB19" s="2" t="s">
        <v>92</v>
      </c>
    </row>
    <row r="20" spans="1:28" ht="15" customHeight="1">
      <c r="B20" s="5">
        <v>1</v>
      </c>
      <c r="C20" s="53" t="str">
        <f>INDEX($B$167:$B$170,MATCH($B20,$L$167:$L$170,0))</f>
        <v>France</v>
      </c>
      <c r="D20" s="51">
        <f>INDEX($J$167:$J$170,MATCH($B20,$L$167:$L$170,0))</f>
        <v>9</v>
      </c>
      <c r="E20" s="51">
        <f>INDEX($I$167:$I$170,MATCH($B20,$L$167:$L$170,0))</f>
        <v>8</v>
      </c>
      <c r="F20" s="51">
        <f>INDEX($G$167:$G$170,MATCH($B20,$L$167:$L$170,0))</f>
        <v>10</v>
      </c>
      <c r="G20" s="52" t="str">
        <f>INDEX($N$167:$N$170,MATCH($B20,$L$167:$L$170,0))</f>
        <v>Yes</v>
      </c>
      <c r="I20" s="5">
        <v>1</v>
      </c>
      <c r="J20" s="53" t="str">
        <f>INDEX($B$171:$B$174,MATCH($I20,$L$171:$L$174,0))</f>
        <v>Argentina</v>
      </c>
      <c r="K20" s="51">
        <f>INDEX($J$171:$J$174,MATCH($I20,$L$171:$L$174,0))</f>
        <v>9</v>
      </c>
      <c r="L20" s="51">
        <f>INDEX($I$171:$I$174,MATCH($I20,$L$171:$L$174,0))</f>
        <v>7</v>
      </c>
      <c r="M20" s="51">
        <f>INDEX($G$171:$G$174,MATCH($I20,$L$171:$L$174,0))</f>
        <v>8</v>
      </c>
      <c r="N20" s="52" t="str">
        <f>INDEX($N$171:$N$174,MATCH($I20,$L$171:$L$174,0))</f>
        <v>Yes</v>
      </c>
      <c r="P20" s="5">
        <v>1</v>
      </c>
      <c r="Q20" s="53" t="str">
        <f>INDEX($B$175:$B$178,MATCH($P20,$L$175:$L$178,0))</f>
        <v>Colombia</v>
      </c>
      <c r="R20" s="51">
        <f>INDEX($J$175:$J$178,MATCH($P20,$L$175:$L$178,0))</f>
        <v>7</v>
      </c>
      <c r="S20" s="51">
        <f>INDEX($I$175:$I$178,MATCH($P20,$L$175:$L$178,0))</f>
        <v>3</v>
      </c>
      <c r="T20" s="51">
        <f>INDEX($G$175:$G$178,MATCH($P20,$L$175:$L$178,0))</f>
        <v>4</v>
      </c>
      <c r="U20" s="52" t="str">
        <f>INDEX($N$175:$N$178,MATCH($P20,$L$175:$L$178,0))</f>
        <v>Yes</v>
      </c>
      <c r="W20" s="5">
        <v>1</v>
      </c>
      <c r="X20" s="53" t="str">
        <f>INDEX($B$179:$B$182,MATCH($W20,$L$179:$L$182,0))</f>
        <v>England</v>
      </c>
      <c r="Y20" s="51">
        <f>INDEX($J$179:$J$182,MATCH($W20,$L$179:$L$182,0))</f>
        <v>7</v>
      </c>
      <c r="Z20" s="51">
        <f>INDEX($I$179:$I$182,MATCH($W20,$L$179:$L$182,0))</f>
        <v>4</v>
      </c>
      <c r="AA20" s="51">
        <f>INDEX($G$179:$G$182,MATCH($W20,$L$179:$L$182,0))</f>
        <v>6</v>
      </c>
      <c r="AB20" s="52" t="str">
        <f>INDEX($N$179:$N$182,MATCH($W20,$L$179:$L$182,0))</f>
        <v>Yes</v>
      </c>
    </row>
    <row r="21" spans="1:28" ht="15" customHeight="1">
      <c r="B21" s="9">
        <v>2</v>
      </c>
      <c r="C21" s="53" t="str">
        <f>INDEX($B$167:$B$170,MATCH($B21,$L$167:$L$170,0))</f>
        <v>Norway</v>
      </c>
      <c r="D21" s="51">
        <f>INDEX($J$167:$J$170,MATCH($B21,$L$167:$L$170,0))</f>
        <v>6</v>
      </c>
      <c r="E21" s="51">
        <f>INDEX($I$167:$I$170,MATCH($B21,$L$167:$L$170,0))</f>
        <v>1</v>
      </c>
      <c r="F21" s="51">
        <f>INDEX($G$167:$G$170,MATCH($B21,$L$167:$L$170,0))</f>
        <v>8</v>
      </c>
      <c r="G21" s="52" t="str">
        <f>INDEX($N$167:$N$170,MATCH($B21,$L$167:$L$170,0))</f>
        <v>Yes</v>
      </c>
      <c r="I21" s="9">
        <v>2</v>
      </c>
      <c r="J21" s="53" t="str">
        <f>INDEX($B$171:$B$174,MATCH($I21,$L$171:$L$174,0))</f>
        <v>Austria</v>
      </c>
      <c r="K21" s="51">
        <f>INDEX($J$171:$J$174,MATCH($I21,$L$171:$L$174,0))</f>
        <v>4</v>
      </c>
      <c r="L21" s="51">
        <f>INDEX($I$171:$I$174,MATCH($I21,$L$171:$L$174,0))</f>
        <v>0</v>
      </c>
      <c r="M21" s="51">
        <f>INDEX($G$171:$G$174,MATCH($I21,$L$171:$L$174,0))</f>
        <v>6</v>
      </c>
      <c r="N21" s="52" t="str">
        <f>INDEX($N$171:$N$174,MATCH($I21,$L$171:$L$174,0))</f>
        <v>Yes</v>
      </c>
      <c r="P21" s="9">
        <v>2</v>
      </c>
      <c r="Q21" s="53" t="str">
        <f>INDEX($B$175:$B$178,MATCH($P21,$L$175:$L$178,0))</f>
        <v>Portugal</v>
      </c>
      <c r="R21" s="51">
        <f>INDEX($J$175:$J$178,MATCH($P21,$L$175:$L$178,0))</f>
        <v>5</v>
      </c>
      <c r="S21" s="51">
        <f>INDEX($I$175:$I$178,MATCH($P21,$L$175:$L$178,0))</f>
        <v>5</v>
      </c>
      <c r="T21" s="51">
        <f>INDEX($G$175:$G$178,MATCH($P21,$L$175:$L$178,0))</f>
        <v>6</v>
      </c>
      <c r="U21" s="52" t="str">
        <f>INDEX($N$175:$N$178,MATCH($P21,$L$175:$L$178,0))</f>
        <v>Yes</v>
      </c>
      <c r="W21" s="9">
        <v>2</v>
      </c>
      <c r="X21" s="53" t="str">
        <f>INDEX($B$179:$B$182,MATCH($W21,$L$179:$L$182,0))</f>
        <v>Croatia</v>
      </c>
      <c r="Y21" s="51">
        <f>INDEX($J$179:$J$182,MATCH($W21,$L$179:$L$182,0))</f>
        <v>6</v>
      </c>
      <c r="Z21" s="51">
        <f>INDEX($I$179:$I$182,MATCH($W21,$L$179:$L$182,0))</f>
        <v>0</v>
      </c>
      <c r="AA21" s="51">
        <f>INDEX($G$179:$G$182,MATCH($W21,$L$179:$L$182,0))</f>
        <v>5</v>
      </c>
      <c r="AB21" s="52" t="str">
        <f>INDEX($N$179:$N$182,MATCH($W21,$L$179:$L$182,0))</f>
        <v>Yes</v>
      </c>
    </row>
    <row r="22" spans="1:28" ht="15" customHeight="1">
      <c r="B22" s="9">
        <v>3</v>
      </c>
      <c r="C22" s="53" t="str">
        <f>INDEX($B$167:$B$170,MATCH($B22,$L$167:$L$170,0))</f>
        <v>Senegal</v>
      </c>
      <c r="D22" s="51">
        <f>INDEX($J$167:$J$170,MATCH($B22,$L$167:$L$170,0))</f>
        <v>3</v>
      </c>
      <c r="E22" s="51">
        <f>INDEX($I$167:$I$170,MATCH($B22,$L$167:$L$170,0))</f>
        <v>2</v>
      </c>
      <c r="F22" s="51">
        <f>INDEX($G$167:$G$170,MATCH($B22,$L$167:$L$170,0))</f>
        <v>8</v>
      </c>
      <c r="G22" s="54" t="str">
        <f>INDEX($N$167:$N$170,MATCH($B22,$L$167:$L$170,0))</f>
        <v>Yes</v>
      </c>
      <c r="I22" s="9">
        <v>3</v>
      </c>
      <c r="J22" s="53" t="str">
        <f>INDEX($B$171:$B$174,MATCH($I22,$L$171:$L$174,0))</f>
        <v>Algeria</v>
      </c>
      <c r="K22" s="51">
        <f>INDEX($J$171:$J$174,MATCH($I22,$L$171:$L$174,0))</f>
        <v>4</v>
      </c>
      <c r="L22" s="51">
        <f>INDEX($I$171:$I$174,MATCH($I22,$L$171:$L$174,0))</f>
        <v>-2</v>
      </c>
      <c r="M22" s="51">
        <f>INDEX($G$171:$G$174,MATCH($I22,$L$171:$L$174,0))</f>
        <v>5</v>
      </c>
      <c r="N22" s="54" t="str">
        <f>INDEX($N$171:$N$174,MATCH($I22,$L$171:$L$174,0))</f>
        <v>Yes</v>
      </c>
      <c r="P22" s="9">
        <v>3</v>
      </c>
      <c r="Q22" s="53" t="str">
        <f>INDEX($B$175:$B$178,MATCH($P22,$L$175:$L$178,0))</f>
        <v>Congo DR</v>
      </c>
      <c r="R22" s="51">
        <f>INDEX($J$175:$J$178,MATCH($P22,$L$175:$L$178,0))</f>
        <v>4</v>
      </c>
      <c r="S22" s="51">
        <f>INDEX($I$175:$I$178,MATCH($P22,$L$175:$L$178,0))</f>
        <v>1</v>
      </c>
      <c r="T22" s="51">
        <f>INDEX($G$175:$G$178,MATCH($P22,$L$175:$L$178,0))</f>
        <v>4</v>
      </c>
      <c r="U22" s="54" t="str">
        <f>INDEX($N$175:$N$178,MATCH($P22,$L$175:$L$178,0))</f>
        <v>Yes</v>
      </c>
      <c r="W22" s="9">
        <v>3</v>
      </c>
      <c r="X22" s="53" t="str">
        <f>INDEX($B$179:$B$182,MATCH($W22,$L$179:$L$182,0))</f>
        <v>Ghana</v>
      </c>
      <c r="Y22" s="51">
        <f>INDEX($J$179:$J$182,MATCH($W22,$L$179:$L$182,0))</f>
        <v>4</v>
      </c>
      <c r="Z22" s="51">
        <f>INDEX($I$179:$I$182,MATCH($W22,$L$179:$L$182,0))</f>
        <v>0</v>
      </c>
      <c r="AA22" s="51">
        <f>INDEX($G$179:$G$182,MATCH($W22,$L$179:$L$182,0))</f>
        <v>2</v>
      </c>
      <c r="AB22" s="54" t="str">
        <f>INDEX($N$179:$N$182,MATCH($W22,$L$179:$L$182,0))</f>
        <v>Yes</v>
      </c>
    </row>
    <row r="23" spans="1:28" ht="15" customHeight="1">
      <c r="B23" s="39">
        <v>4</v>
      </c>
      <c r="C23" s="53" t="str">
        <f>INDEX($B$167:$B$170,MATCH($B23,$L$167:$L$170,0))</f>
        <v>Iraq</v>
      </c>
      <c r="D23" s="51">
        <f>INDEX($J$167:$J$170,MATCH($B23,$L$167:$L$170,0))</f>
        <v>0</v>
      </c>
      <c r="E23" s="51">
        <f>INDEX($I$167:$I$170,MATCH($B23,$L$167:$L$170,0))</f>
        <v>-11</v>
      </c>
      <c r="F23" s="51">
        <f>INDEX($G$167:$G$170,MATCH($B23,$L$167:$L$170,0))</f>
        <v>1</v>
      </c>
      <c r="G23" s="52" t="str">
        <f>INDEX($N$167:$N$170,MATCH($B23,$L$167:$L$170,0))</f>
        <v>No</v>
      </c>
      <c r="I23" s="39">
        <v>4</v>
      </c>
      <c r="J23" s="53" t="str">
        <f>INDEX($B$171:$B$174,MATCH($I23,$L$171:$L$174,0))</f>
        <v>Jordan</v>
      </c>
      <c r="K23" s="51">
        <f>INDEX($J$171:$J$174,MATCH($I23,$L$171:$L$174,0))</f>
        <v>0</v>
      </c>
      <c r="L23" s="51">
        <f>INDEX($I$171:$I$174,MATCH($I23,$L$171:$L$174,0))</f>
        <v>-5</v>
      </c>
      <c r="M23" s="51">
        <f>INDEX($G$171:$G$174,MATCH($I23,$L$171:$L$174,0))</f>
        <v>3</v>
      </c>
      <c r="N23" s="52" t="str">
        <f>INDEX($N$171:$N$174,MATCH($I23,$L$171:$L$174,0))</f>
        <v>No</v>
      </c>
      <c r="P23" s="39">
        <v>4</v>
      </c>
      <c r="Q23" s="53" t="str">
        <f>INDEX($B$175:$B$178,MATCH($P23,$L$175:$L$178,0))</f>
        <v>Uzbekistan</v>
      </c>
      <c r="R23" s="51">
        <f>INDEX($J$175:$J$178,MATCH($P23,$L$175:$L$178,0))</f>
        <v>0</v>
      </c>
      <c r="S23" s="51">
        <f>INDEX($I$175:$I$178,MATCH($P23,$L$175:$L$178,0))</f>
        <v>-9</v>
      </c>
      <c r="T23" s="51">
        <f>INDEX($G$175:$G$178,MATCH($P23,$L$175:$L$178,0))</f>
        <v>2</v>
      </c>
      <c r="U23" s="52" t="str">
        <f>INDEX($N$175:$N$178,MATCH($P23,$L$175:$L$178,0))</f>
        <v>No</v>
      </c>
      <c r="W23" s="39">
        <v>4</v>
      </c>
      <c r="X23" s="53" t="str">
        <f>INDEX($B$179:$B$182,MATCH($W23,$L$179:$L$182,0))</f>
        <v>Panama</v>
      </c>
      <c r="Y23" s="51">
        <f>INDEX($J$179:$J$182,MATCH($W23,$L$179:$L$182,0))</f>
        <v>0</v>
      </c>
      <c r="Z23" s="51">
        <f>INDEX($I$179:$I$182,MATCH($W23,$L$179:$L$182,0))</f>
        <v>-4</v>
      </c>
      <c r="AA23" s="51">
        <f>INDEX($G$179:$G$182,MATCH($W23,$L$179:$L$182,0))</f>
        <v>0</v>
      </c>
      <c r="AB23" s="52" t="str">
        <f>INDEX($N$179:$N$182,MATCH($W23,$L$179:$L$182,0))</f>
        <v>No</v>
      </c>
    </row>
    <row r="31" spans="1:28" ht="55.15" customHeight="1">
      <c r="A31" s="28" t="s">
        <v>102</v>
      </c>
      <c r="B31" s="29" t="s">
        <v>102</v>
      </c>
      <c r="C31" s="29" t="s">
        <v>102</v>
      </c>
      <c r="D31" s="29" t="s">
        <v>102</v>
      </c>
      <c r="E31" s="29" t="s">
        <v>102</v>
      </c>
      <c r="F31" s="29" t="s">
        <v>102</v>
      </c>
      <c r="G31" s="29" t="s">
        <v>102</v>
      </c>
      <c r="H31" s="29" t="s">
        <v>102</v>
      </c>
      <c r="I31" s="29" t="s">
        <v>102</v>
      </c>
      <c r="J31" s="29" t="s">
        <v>102</v>
      </c>
      <c r="K31" s="29" t="s">
        <v>102</v>
      </c>
      <c r="L31" s="29" t="s">
        <v>102</v>
      </c>
      <c r="M31" s="29" t="s">
        <v>102</v>
      </c>
      <c r="N31" s="29" t="s">
        <v>102</v>
      </c>
      <c r="O31" s="29" t="s">
        <v>102</v>
      </c>
      <c r="P31" s="29" t="s">
        <v>102</v>
      </c>
      <c r="Q31" s="29" t="s">
        <v>102</v>
      </c>
      <c r="R31" s="30" t="s">
        <v>102</v>
      </c>
    </row>
    <row r="38" spans="2:18" ht="15" customHeight="1">
      <c r="B38" s="166" t="s">
        <v>103</v>
      </c>
      <c r="C38" s="241"/>
      <c r="E38" s="166" t="s">
        <v>104</v>
      </c>
      <c r="F38" s="241"/>
      <c r="H38" s="166" t="s">
        <v>105</v>
      </c>
      <c r="I38" s="241"/>
      <c r="K38" s="166" t="s">
        <v>106</v>
      </c>
      <c r="L38" s="241"/>
      <c r="N38" s="166" t="s">
        <v>107</v>
      </c>
      <c r="O38" s="241"/>
      <c r="Q38" s="166" t="s">
        <v>108</v>
      </c>
      <c r="R38" s="241"/>
    </row>
    <row r="39" spans="2:18" ht="15" customHeight="1">
      <c r="B39" s="1" t="s">
        <v>109</v>
      </c>
      <c r="C39" s="2" t="s">
        <v>110</v>
      </c>
      <c r="E39" s="1" t="s">
        <v>109</v>
      </c>
      <c r="F39" s="2" t="s">
        <v>110</v>
      </c>
      <c r="H39" s="1" t="s">
        <v>109</v>
      </c>
      <c r="I39" s="2" t="s">
        <v>110</v>
      </c>
      <c r="K39" s="1" t="s">
        <v>109</v>
      </c>
      <c r="L39" s="2" t="s">
        <v>110</v>
      </c>
      <c r="N39" s="1" t="s">
        <v>109</v>
      </c>
      <c r="O39" s="2" t="s">
        <v>110</v>
      </c>
      <c r="Q39" s="1" t="s">
        <v>111</v>
      </c>
      <c r="R39" s="2" t="s">
        <v>88</v>
      </c>
    </row>
    <row r="40" spans="2:18" ht="23.85" customHeight="1">
      <c r="B40" s="5" t="s">
        <v>112</v>
      </c>
      <c r="C40" s="56" t="str">
        <f>F209</f>
        <v>Paraguay</v>
      </c>
      <c r="E40" s="5" t="s">
        <v>113</v>
      </c>
      <c r="F40" s="56" t="str">
        <f>F227</f>
        <v>France</v>
      </c>
      <c r="H40" s="5" t="s">
        <v>114</v>
      </c>
      <c r="I40" s="56" t="str">
        <f>F239</f>
        <v/>
      </c>
      <c r="K40" s="5" t="s">
        <v>115</v>
      </c>
      <c r="L40" s="56" t="str">
        <f>F247</f>
        <v/>
      </c>
      <c r="N40" s="57" t="s">
        <v>116</v>
      </c>
      <c r="O40" s="56" t="str">
        <f>F253</f>
        <v/>
      </c>
      <c r="Q40" s="5" t="s">
        <v>117</v>
      </c>
      <c r="R40" s="56" t="str">
        <f>F259</f>
        <v/>
      </c>
    </row>
    <row r="41" spans="2:18" ht="23.85" customHeight="1">
      <c r="B41" s="9" t="s">
        <v>118</v>
      </c>
      <c r="C41" s="56" t="str">
        <f>F212</f>
        <v>France</v>
      </c>
      <c r="E41" s="9" t="s">
        <v>119</v>
      </c>
      <c r="F41" s="56" t="str">
        <f>F228</f>
        <v>Morocco</v>
      </c>
      <c r="H41" s="9" t="s">
        <v>120</v>
      </c>
      <c r="I41" s="56" t="str">
        <f>F240</f>
        <v/>
      </c>
      <c r="K41" s="39" t="s">
        <v>121</v>
      </c>
      <c r="L41" s="56" t="str">
        <f>F248</f>
        <v/>
      </c>
      <c r="Q41" s="39" t="s">
        <v>122</v>
      </c>
      <c r="R41" s="56" t="str">
        <f>G259</f>
        <v/>
      </c>
    </row>
    <row r="42" spans="2:18" ht="23.85" customHeight="1">
      <c r="B42" s="9" t="s">
        <v>123</v>
      </c>
      <c r="C42" s="56" t="str">
        <f>F207</f>
        <v>Canada</v>
      </c>
      <c r="E42" s="9" t="s">
        <v>124</v>
      </c>
      <c r="F42" s="56" t="str">
        <f>F229</f>
        <v/>
      </c>
      <c r="H42" s="9" t="s">
        <v>125</v>
      </c>
      <c r="I42" s="56" t="str">
        <f>F241</f>
        <v/>
      </c>
    </row>
    <row r="43" spans="2:18" ht="23.85" customHeight="1">
      <c r="B43" s="9" t="s">
        <v>126</v>
      </c>
      <c r="C43" s="56" t="str">
        <f>F210</f>
        <v>Morocco</v>
      </c>
      <c r="E43" s="9" t="s">
        <v>127</v>
      </c>
      <c r="F43" s="56" t="str">
        <f>F230</f>
        <v/>
      </c>
      <c r="H43" s="39" t="s">
        <v>128</v>
      </c>
      <c r="I43" s="56" t="str">
        <f>F242</f>
        <v/>
      </c>
    </row>
    <row r="44" spans="2:18" ht="23.85" customHeight="1">
      <c r="B44" s="9" t="s">
        <v>129</v>
      </c>
      <c r="C44" s="56" t="str">
        <f>F218</f>
        <v>Portugal</v>
      </c>
      <c r="E44" s="9" t="s">
        <v>130</v>
      </c>
      <c r="F44" s="56" t="str">
        <f>F231</f>
        <v>Norway</v>
      </c>
    </row>
    <row r="45" spans="2:18" ht="23.85" customHeight="1">
      <c r="B45" s="9" t="s">
        <v>131</v>
      </c>
      <c r="C45" s="56" t="str">
        <f>F217</f>
        <v>Spain</v>
      </c>
      <c r="E45" s="9" t="s">
        <v>132</v>
      </c>
      <c r="F45" s="56" t="str">
        <f>F232</f>
        <v>England</v>
      </c>
    </row>
    <row r="46" spans="2:18" ht="23.85" customHeight="1">
      <c r="B46" s="9" t="s">
        <v>133</v>
      </c>
      <c r="C46" s="56" t="str">
        <f>F216</f>
        <v>United States</v>
      </c>
      <c r="E46" s="9" t="s">
        <v>134</v>
      </c>
      <c r="F46" s="56" t="str">
        <f>F233</f>
        <v/>
      </c>
    </row>
    <row r="47" spans="2:18" ht="23.85" customHeight="1">
      <c r="B47" s="9" t="s">
        <v>135</v>
      </c>
      <c r="C47" s="56" t="str">
        <f>F215</f>
        <v>Belgium</v>
      </c>
      <c r="E47" s="39" t="s">
        <v>136</v>
      </c>
      <c r="F47" s="56" t="str">
        <f>F234</f>
        <v/>
      </c>
    </row>
    <row r="48" spans="2:18" ht="23.85" customHeight="1">
      <c r="B48" s="9" t="s">
        <v>137</v>
      </c>
      <c r="C48" s="56" t="str">
        <f>F208</f>
        <v>Brazil</v>
      </c>
    </row>
    <row r="49" spans="1:10" ht="23.85" customHeight="1">
      <c r="B49" s="9" t="s">
        <v>138</v>
      </c>
      <c r="C49" s="56" t="str">
        <f>F211</f>
        <v>Norway</v>
      </c>
    </row>
    <row r="50" spans="1:10" ht="23.85" customHeight="1">
      <c r="B50" s="9" t="s">
        <v>139</v>
      </c>
      <c r="C50" s="56" t="str">
        <f>F213</f>
        <v>Mexico</v>
      </c>
    </row>
    <row r="51" spans="1:10" ht="23.85" customHeight="1">
      <c r="B51" s="9" t="s">
        <v>140</v>
      </c>
      <c r="C51" s="56" t="str">
        <f>F214</f>
        <v>England</v>
      </c>
    </row>
    <row r="52" spans="1:10" ht="23.85" customHeight="1">
      <c r="B52" s="9" t="s">
        <v>141</v>
      </c>
      <c r="C52" s="56" t="str">
        <f>F221</f>
        <v>Argentina</v>
      </c>
    </row>
    <row r="53" spans="1:10" ht="23.85" customHeight="1">
      <c r="B53" s="9" t="s">
        <v>142</v>
      </c>
      <c r="C53" s="56" t="str">
        <f>F220</f>
        <v>Egypt</v>
      </c>
    </row>
    <row r="54" spans="1:10" ht="23.85" customHeight="1">
      <c r="B54" s="9" t="s">
        <v>143</v>
      </c>
      <c r="C54" s="56" t="str">
        <f>F219</f>
        <v>Switzerland</v>
      </c>
    </row>
    <row r="55" spans="1:10" ht="23.85" customHeight="1">
      <c r="B55" s="39" t="s">
        <v>144</v>
      </c>
      <c r="C55" s="56" t="str">
        <f>F222</f>
        <v>Colombia</v>
      </c>
    </row>
    <row r="57" spans="1:10" ht="24" customHeight="1">
      <c r="A57" s="163" t="s">
        <v>145</v>
      </c>
      <c r="B57" s="240"/>
      <c r="C57" s="240"/>
      <c r="D57" s="240"/>
      <c r="E57" s="240"/>
      <c r="F57" s="240"/>
      <c r="G57" s="240"/>
      <c r="H57" s="240"/>
      <c r="I57" s="240"/>
      <c r="J57" s="241"/>
    </row>
    <row r="58" spans="1:10" ht="21.75" customHeight="1">
      <c r="A58" s="58" t="s">
        <v>146</v>
      </c>
      <c r="B58" s="58" t="s">
        <v>147</v>
      </c>
      <c r="C58" s="58" t="s">
        <v>109</v>
      </c>
      <c r="D58" s="58" t="s">
        <v>148</v>
      </c>
      <c r="E58" s="58" t="s">
        <v>149</v>
      </c>
      <c r="F58" s="58" t="s">
        <v>150</v>
      </c>
      <c r="G58" s="58" t="s">
        <v>151</v>
      </c>
      <c r="H58" s="58" t="s">
        <v>111</v>
      </c>
      <c r="I58" s="58" t="s">
        <v>152</v>
      </c>
      <c r="J58" s="58" t="s">
        <v>153</v>
      </c>
    </row>
    <row r="59" spans="1:10" ht="15" customHeight="1">
      <c r="A59" s="59" t="s">
        <v>154</v>
      </c>
      <c r="B59" s="59" t="s">
        <v>155</v>
      </c>
      <c r="C59" s="60" t="s">
        <v>156</v>
      </c>
      <c r="D59" s="56" t="s">
        <v>157</v>
      </c>
      <c r="E59" s="56" t="s">
        <v>158</v>
      </c>
      <c r="F59" s="100">
        <v>2</v>
      </c>
      <c r="G59" s="100">
        <v>0</v>
      </c>
      <c r="H59" s="61" t="str">
        <f t="shared" ref="H59:H90" si="0">IF(OR(F59="",G59=""),"",IF(F59&gt;G59,D59,IF(G59&gt;F59,E59,"Draw")))</f>
        <v>Mexico</v>
      </c>
      <c r="I59" s="61">
        <f t="shared" ref="I59:I90" si="1">IF(OR(F59="",G59=""),"",IF(F59&gt;G59,3,IF(F59=G59,1,0)))</f>
        <v>3</v>
      </c>
      <c r="J59" s="61">
        <f t="shared" ref="J59:J90" si="2">IF(OR(F59="",G59=""),"",IF(G59&gt;F59,3,IF(F59=G59,1,0)))</f>
        <v>0</v>
      </c>
    </row>
    <row r="60" spans="1:10" ht="15" customHeight="1">
      <c r="A60" s="59" t="s">
        <v>154</v>
      </c>
      <c r="B60" s="59" t="s">
        <v>155</v>
      </c>
      <c r="C60" s="60" t="s">
        <v>159</v>
      </c>
      <c r="D60" s="56" t="s">
        <v>160</v>
      </c>
      <c r="E60" s="56" t="s">
        <v>161</v>
      </c>
      <c r="F60" s="100">
        <v>2</v>
      </c>
      <c r="G60" s="100">
        <v>1</v>
      </c>
      <c r="H60" s="61" t="str">
        <f t="shared" si="0"/>
        <v>Korea Republic</v>
      </c>
      <c r="I60" s="61">
        <f t="shared" si="1"/>
        <v>3</v>
      </c>
      <c r="J60" s="61">
        <f t="shared" si="2"/>
        <v>0</v>
      </c>
    </row>
    <row r="61" spans="1:10" ht="15" customHeight="1">
      <c r="A61" s="59" t="s">
        <v>154</v>
      </c>
      <c r="B61" s="59" t="s">
        <v>162</v>
      </c>
      <c r="C61" s="60" t="s">
        <v>163</v>
      </c>
      <c r="D61" s="56" t="s">
        <v>157</v>
      </c>
      <c r="E61" s="56" t="s">
        <v>160</v>
      </c>
      <c r="F61" s="100">
        <v>1</v>
      </c>
      <c r="G61" s="100">
        <v>0</v>
      </c>
      <c r="H61" s="61" t="str">
        <f t="shared" si="0"/>
        <v>Mexico</v>
      </c>
      <c r="I61" s="61">
        <f t="shared" si="1"/>
        <v>3</v>
      </c>
      <c r="J61" s="61">
        <f t="shared" si="2"/>
        <v>0</v>
      </c>
    </row>
    <row r="62" spans="1:10" ht="15" customHeight="1">
      <c r="A62" s="59" t="s">
        <v>154</v>
      </c>
      <c r="B62" s="59" t="s">
        <v>162</v>
      </c>
      <c r="C62" s="60" t="s">
        <v>164</v>
      </c>
      <c r="D62" s="56" t="s">
        <v>158</v>
      </c>
      <c r="E62" s="56" t="s">
        <v>161</v>
      </c>
      <c r="F62" s="100">
        <v>1</v>
      </c>
      <c r="G62" s="100">
        <v>1</v>
      </c>
      <c r="H62" s="61" t="str">
        <f t="shared" si="0"/>
        <v>Draw</v>
      </c>
      <c r="I62" s="61">
        <f t="shared" si="1"/>
        <v>1</v>
      </c>
      <c r="J62" s="61">
        <f t="shared" si="2"/>
        <v>1</v>
      </c>
    </row>
    <row r="63" spans="1:10" ht="15" customHeight="1">
      <c r="A63" s="59" t="s">
        <v>154</v>
      </c>
      <c r="B63" s="59" t="s">
        <v>165</v>
      </c>
      <c r="C63" s="60" t="s">
        <v>166</v>
      </c>
      <c r="D63" s="56" t="s">
        <v>157</v>
      </c>
      <c r="E63" s="56" t="s">
        <v>161</v>
      </c>
      <c r="F63" s="100">
        <v>3</v>
      </c>
      <c r="G63" s="100">
        <v>0</v>
      </c>
      <c r="H63" s="61" t="str">
        <f t="shared" si="0"/>
        <v>Mexico</v>
      </c>
      <c r="I63" s="61">
        <f t="shared" si="1"/>
        <v>3</v>
      </c>
      <c r="J63" s="61">
        <f t="shared" si="2"/>
        <v>0</v>
      </c>
    </row>
    <row r="64" spans="1:10" ht="15" customHeight="1">
      <c r="A64" s="59" t="s">
        <v>154</v>
      </c>
      <c r="B64" s="59" t="s">
        <v>165</v>
      </c>
      <c r="C64" s="60" t="s">
        <v>167</v>
      </c>
      <c r="D64" s="56" t="s">
        <v>158</v>
      </c>
      <c r="E64" s="56" t="s">
        <v>160</v>
      </c>
      <c r="F64" s="100">
        <v>1</v>
      </c>
      <c r="G64" s="100">
        <v>0</v>
      </c>
      <c r="H64" s="61" t="str">
        <f t="shared" si="0"/>
        <v>South Africa</v>
      </c>
      <c r="I64" s="61">
        <f t="shared" si="1"/>
        <v>3</v>
      </c>
      <c r="J64" s="61">
        <f t="shared" si="2"/>
        <v>0</v>
      </c>
    </row>
    <row r="65" spans="1:10" ht="15" customHeight="1">
      <c r="A65" s="59" t="s">
        <v>168</v>
      </c>
      <c r="B65" s="59" t="s">
        <v>155</v>
      </c>
      <c r="C65" s="60" t="s">
        <v>156</v>
      </c>
      <c r="D65" s="56" t="s">
        <v>169</v>
      </c>
      <c r="E65" s="56" t="s">
        <v>170</v>
      </c>
      <c r="F65" s="100">
        <v>1</v>
      </c>
      <c r="G65" s="100">
        <v>1</v>
      </c>
      <c r="H65" s="61" t="str">
        <f t="shared" si="0"/>
        <v>Draw</v>
      </c>
      <c r="I65" s="61">
        <f t="shared" si="1"/>
        <v>1</v>
      </c>
      <c r="J65" s="61">
        <f t="shared" si="2"/>
        <v>1</v>
      </c>
    </row>
    <row r="66" spans="1:10" ht="15" customHeight="1">
      <c r="A66" s="59" t="s">
        <v>168</v>
      </c>
      <c r="B66" s="59" t="s">
        <v>155</v>
      </c>
      <c r="C66" s="60" t="s">
        <v>159</v>
      </c>
      <c r="D66" s="56" t="s">
        <v>171</v>
      </c>
      <c r="E66" s="56" t="s">
        <v>172</v>
      </c>
      <c r="F66" s="100">
        <v>1</v>
      </c>
      <c r="G66" s="100">
        <v>1</v>
      </c>
      <c r="H66" s="61" t="str">
        <f t="shared" si="0"/>
        <v>Draw</v>
      </c>
      <c r="I66" s="61">
        <f t="shared" si="1"/>
        <v>1</v>
      </c>
      <c r="J66" s="61">
        <f t="shared" si="2"/>
        <v>1</v>
      </c>
    </row>
    <row r="67" spans="1:10" ht="15" customHeight="1">
      <c r="A67" s="59" t="s">
        <v>168</v>
      </c>
      <c r="B67" s="59" t="s">
        <v>162</v>
      </c>
      <c r="C67" s="60" t="s">
        <v>163</v>
      </c>
      <c r="D67" s="56" t="s">
        <v>169</v>
      </c>
      <c r="E67" s="56" t="s">
        <v>171</v>
      </c>
      <c r="F67" s="100">
        <v>6</v>
      </c>
      <c r="G67" s="100">
        <v>0</v>
      </c>
      <c r="H67" s="61" t="str">
        <f t="shared" si="0"/>
        <v>Canada</v>
      </c>
      <c r="I67" s="61">
        <f t="shared" si="1"/>
        <v>3</v>
      </c>
      <c r="J67" s="61">
        <f t="shared" si="2"/>
        <v>0</v>
      </c>
    </row>
    <row r="68" spans="1:10" ht="15" customHeight="1">
      <c r="A68" s="59" t="s">
        <v>168</v>
      </c>
      <c r="B68" s="59" t="s">
        <v>162</v>
      </c>
      <c r="C68" s="60" t="s">
        <v>164</v>
      </c>
      <c r="D68" s="56" t="s">
        <v>170</v>
      </c>
      <c r="E68" s="56" t="s">
        <v>172</v>
      </c>
      <c r="F68" s="100">
        <v>1</v>
      </c>
      <c r="G68" s="100">
        <v>4</v>
      </c>
      <c r="H68" s="61" t="str">
        <f t="shared" si="0"/>
        <v>Switzerland</v>
      </c>
      <c r="I68" s="61">
        <f t="shared" si="1"/>
        <v>0</v>
      </c>
      <c r="J68" s="61">
        <f t="shared" si="2"/>
        <v>3</v>
      </c>
    </row>
    <row r="69" spans="1:10" ht="15" customHeight="1">
      <c r="A69" s="59" t="s">
        <v>168</v>
      </c>
      <c r="B69" s="59" t="s">
        <v>165</v>
      </c>
      <c r="C69" s="60" t="s">
        <v>166</v>
      </c>
      <c r="D69" s="56" t="s">
        <v>169</v>
      </c>
      <c r="E69" s="56" t="s">
        <v>172</v>
      </c>
      <c r="F69" s="100">
        <v>1</v>
      </c>
      <c r="G69" s="100">
        <v>2</v>
      </c>
      <c r="H69" s="61" t="str">
        <f t="shared" si="0"/>
        <v>Switzerland</v>
      </c>
      <c r="I69" s="61">
        <f t="shared" si="1"/>
        <v>0</v>
      </c>
      <c r="J69" s="61">
        <f t="shared" si="2"/>
        <v>3</v>
      </c>
    </row>
    <row r="70" spans="1:10" ht="15" customHeight="1">
      <c r="A70" s="59" t="s">
        <v>168</v>
      </c>
      <c r="B70" s="59" t="s">
        <v>165</v>
      </c>
      <c r="C70" s="60" t="s">
        <v>167</v>
      </c>
      <c r="D70" s="56" t="s">
        <v>170</v>
      </c>
      <c r="E70" s="56" t="s">
        <v>171</v>
      </c>
      <c r="F70" s="100">
        <v>3</v>
      </c>
      <c r="G70" s="100">
        <v>1</v>
      </c>
      <c r="H70" s="61" t="str">
        <f t="shared" si="0"/>
        <v>Bosnia and Herzegovina</v>
      </c>
      <c r="I70" s="61">
        <f t="shared" si="1"/>
        <v>3</v>
      </c>
      <c r="J70" s="61">
        <f t="shared" si="2"/>
        <v>0</v>
      </c>
    </row>
    <row r="71" spans="1:10" ht="15" customHeight="1">
      <c r="A71" s="59" t="s">
        <v>173</v>
      </c>
      <c r="B71" s="59" t="s">
        <v>155</v>
      </c>
      <c r="C71" s="60" t="s">
        <v>156</v>
      </c>
      <c r="D71" s="56" t="s">
        <v>174</v>
      </c>
      <c r="E71" s="56" t="s">
        <v>175</v>
      </c>
      <c r="F71" s="100">
        <v>3</v>
      </c>
      <c r="G71" s="100">
        <v>0</v>
      </c>
      <c r="H71" s="61" t="str">
        <f t="shared" si="0"/>
        <v>Brazil</v>
      </c>
      <c r="I71" s="61">
        <f t="shared" si="1"/>
        <v>3</v>
      </c>
      <c r="J71" s="61">
        <f t="shared" si="2"/>
        <v>0</v>
      </c>
    </row>
    <row r="72" spans="1:10" ht="15" customHeight="1">
      <c r="A72" s="59" t="s">
        <v>173</v>
      </c>
      <c r="B72" s="59" t="s">
        <v>155</v>
      </c>
      <c r="C72" s="60" t="s">
        <v>159</v>
      </c>
      <c r="D72" s="56" t="s">
        <v>176</v>
      </c>
      <c r="E72" s="56" t="s">
        <v>177</v>
      </c>
      <c r="F72" s="100">
        <v>1</v>
      </c>
      <c r="G72" s="100">
        <v>0</v>
      </c>
      <c r="H72" s="61" t="str">
        <f t="shared" si="0"/>
        <v>Morocco</v>
      </c>
      <c r="I72" s="61">
        <f t="shared" si="1"/>
        <v>3</v>
      </c>
      <c r="J72" s="61">
        <f t="shared" si="2"/>
        <v>0</v>
      </c>
    </row>
    <row r="73" spans="1:10" ht="15" customHeight="1">
      <c r="A73" s="59" t="s">
        <v>173</v>
      </c>
      <c r="B73" s="59" t="s">
        <v>162</v>
      </c>
      <c r="C73" s="60" t="s">
        <v>163</v>
      </c>
      <c r="D73" s="56" t="s">
        <v>174</v>
      </c>
      <c r="E73" s="56" t="s">
        <v>176</v>
      </c>
      <c r="F73" s="100">
        <v>1</v>
      </c>
      <c r="G73" s="100">
        <v>1</v>
      </c>
      <c r="H73" s="61" t="str">
        <f t="shared" si="0"/>
        <v>Draw</v>
      </c>
      <c r="I73" s="61">
        <f t="shared" si="1"/>
        <v>1</v>
      </c>
      <c r="J73" s="61">
        <f t="shared" si="2"/>
        <v>1</v>
      </c>
    </row>
    <row r="74" spans="1:10" ht="15" customHeight="1">
      <c r="A74" s="59" t="s">
        <v>173</v>
      </c>
      <c r="B74" s="59" t="s">
        <v>162</v>
      </c>
      <c r="C74" s="60" t="s">
        <v>164</v>
      </c>
      <c r="D74" s="56" t="s">
        <v>175</v>
      </c>
      <c r="E74" s="56" t="s">
        <v>177</v>
      </c>
      <c r="F74" s="100">
        <v>0</v>
      </c>
      <c r="G74" s="100">
        <v>1</v>
      </c>
      <c r="H74" s="61" t="str">
        <f t="shared" si="0"/>
        <v>Scotland</v>
      </c>
      <c r="I74" s="61">
        <f t="shared" si="1"/>
        <v>0</v>
      </c>
      <c r="J74" s="61">
        <f t="shared" si="2"/>
        <v>3</v>
      </c>
    </row>
    <row r="75" spans="1:10" ht="15" customHeight="1">
      <c r="A75" s="59" t="s">
        <v>173</v>
      </c>
      <c r="B75" s="59" t="s">
        <v>165</v>
      </c>
      <c r="C75" s="60" t="s">
        <v>166</v>
      </c>
      <c r="D75" s="56" t="s">
        <v>174</v>
      </c>
      <c r="E75" s="56" t="s">
        <v>177</v>
      </c>
      <c r="F75" s="100">
        <v>3</v>
      </c>
      <c r="G75" s="100">
        <v>0</v>
      </c>
      <c r="H75" s="61" t="str">
        <f t="shared" si="0"/>
        <v>Brazil</v>
      </c>
      <c r="I75" s="61">
        <f t="shared" si="1"/>
        <v>3</v>
      </c>
      <c r="J75" s="61">
        <f t="shared" si="2"/>
        <v>0</v>
      </c>
    </row>
    <row r="76" spans="1:10" ht="15" customHeight="1">
      <c r="A76" s="59" t="s">
        <v>173</v>
      </c>
      <c r="B76" s="59" t="s">
        <v>165</v>
      </c>
      <c r="C76" s="60" t="s">
        <v>167</v>
      </c>
      <c r="D76" s="56" t="s">
        <v>175</v>
      </c>
      <c r="E76" s="56" t="s">
        <v>176</v>
      </c>
      <c r="F76" s="100">
        <v>2</v>
      </c>
      <c r="G76" s="100">
        <v>4</v>
      </c>
      <c r="H76" s="61" t="str">
        <f t="shared" si="0"/>
        <v>Morocco</v>
      </c>
      <c r="I76" s="61">
        <f t="shared" si="1"/>
        <v>0</v>
      </c>
      <c r="J76" s="61">
        <f t="shared" si="2"/>
        <v>3</v>
      </c>
    </row>
    <row r="77" spans="1:10" ht="15" customHeight="1">
      <c r="A77" s="59" t="s">
        <v>178</v>
      </c>
      <c r="B77" s="59" t="s">
        <v>155</v>
      </c>
      <c r="C77" s="60" t="s">
        <v>156</v>
      </c>
      <c r="D77" s="56" t="s">
        <v>179</v>
      </c>
      <c r="E77" s="56" t="s">
        <v>180</v>
      </c>
      <c r="F77" s="100">
        <v>2</v>
      </c>
      <c r="G77" s="100">
        <v>0</v>
      </c>
      <c r="H77" s="61" t="str">
        <f t="shared" si="0"/>
        <v>United States</v>
      </c>
      <c r="I77" s="61">
        <f t="shared" si="1"/>
        <v>3</v>
      </c>
      <c r="J77" s="61">
        <f t="shared" si="2"/>
        <v>0</v>
      </c>
    </row>
    <row r="78" spans="1:10" ht="15" customHeight="1">
      <c r="A78" s="59" t="s">
        <v>178</v>
      </c>
      <c r="B78" s="59" t="s">
        <v>155</v>
      </c>
      <c r="C78" s="60" t="s">
        <v>159</v>
      </c>
      <c r="D78" s="56" t="s">
        <v>181</v>
      </c>
      <c r="E78" s="56" t="s">
        <v>182</v>
      </c>
      <c r="F78" s="100">
        <v>1</v>
      </c>
      <c r="G78" s="100">
        <v>0</v>
      </c>
      <c r="H78" s="61" t="str">
        <f t="shared" si="0"/>
        <v>Paraguay</v>
      </c>
      <c r="I78" s="61">
        <f t="shared" si="1"/>
        <v>3</v>
      </c>
      <c r="J78" s="61">
        <f t="shared" si="2"/>
        <v>0</v>
      </c>
    </row>
    <row r="79" spans="1:10" ht="15" customHeight="1">
      <c r="A79" s="59" t="s">
        <v>178</v>
      </c>
      <c r="B79" s="59" t="s">
        <v>162</v>
      </c>
      <c r="C79" s="60" t="s">
        <v>163</v>
      </c>
      <c r="D79" s="56" t="s">
        <v>179</v>
      </c>
      <c r="E79" s="56" t="s">
        <v>181</v>
      </c>
      <c r="F79" s="100">
        <v>4</v>
      </c>
      <c r="G79" s="100">
        <v>1</v>
      </c>
      <c r="H79" s="61" t="str">
        <f t="shared" si="0"/>
        <v>United States</v>
      </c>
      <c r="I79" s="61">
        <f t="shared" si="1"/>
        <v>3</v>
      </c>
      <c r="J79" s="61">
        <f t="shared" si="2"/>
        <v>0</v>
      </c>
    </row>
    <row r="80" spans="1:10" ht="15" customHeight="1">
      <c r="A80" s="59" t="s">
        <v>178</v>
      </c>
      <c r="B80" s="59" t="s">
        <v>162</v>
      </c>
      <c r="C80" s="60" t="s">
        <v>164</v>
      </c>
      <c r="D80" s="56" t="s">
        <v>180</v>
      </c>
      <c r="E80" s="56" t="s">
        <v>182</v>
      </c>
      <c r="F80" s="100">
        <v>2</v>
      </c>
      <c r="G80" s="100">
        <v>0</v>
      </c>
      <c r="H80" s="61" t="str">
        <f t="shared" si="0"/>
        <v>Australia</v>
      </c>
      <c r="I80" s="61">
        <f t="shared" si="1"/>
        <v>3</v>
      </c>
      <c r="J80" s="61">
        <f t="shared" si="2"/>
        <v>0</v>
      </c>
    </row>
    <row r="81" spans="1:10" ht="15" customHeight="1">
      <c r="A81" s="59" t="s">
        <v>178</v>
      </c>
      <c r="B81" s="59" t="s">
        <v>165</v>
      </c>
      <c r="C81" s="60" t="s">
        <v>166</v>
      </c>
      <c r="D81" s="56" t="s">
        <v>179</v>
      </c>
      <c r="E81" s="56" t="s">
        <v>182</v>
      </c>
      <c r="F81" s="100">
        <v>2</v>
      </c>
      <c r="G81" s="100">
        <v>3</v>
      </c>
      <c r="H81" s="61" t="str">
        <f t="shared" si="0"/>
        <v>Türkiye</v>
      </c>
      <c r="I81" s="61">
        <f t="shared" si="1"/>
        <v>0</v>
      </c>
      <c r="J81" s="61">
        <f t="shared" si="2"/>
        <v>3</v>
      </c>
    </row>
    <row r="82" spans="1:10" ht="15" customHeight="1">
      <c r="A82" s="59" t="s">
        <v>178</v>
      </c>
      <c r="B82" s="59" t="s">
        <v>165</v>
      </c>
      <c r="C82" s="60" t="s">
        <v>167</v>
      </c>
      <c r="D82" s="56" t="s">
        <v>180</v>
      </c>
      <c r="E82" s="56" t="s">
        <v>181</v>
      </c>
      <c r="F82" s="100">
        <v>0</v>
      </c>
      <c r="G82" s="100">
        <v>0</v>
      </c>
      <c r="H82" s="61" t="str">
        <f t="shared" si="0"/>
        <v>Draw</v>
      </c>
      <c r="I82" s="61">
        <f t="shared" si="1"/>
        <v>1</v>
      </c>
      <c r="J82" s="61">
        <f t="shared" si="2"/>
        <v>1</v>
      </c>
    </row>
    <row r="83" spans="1:10" ht="15" customHeight="1">
      <c r="A83" s="59" t="s">
        <v>183</v>
      </c>
      <c r="B83" s="59" t="s">
        <v>155</v>
      </c>
      <c r="C83" s="60" t="s">
        <v>156</v>
      </c>
      <c r="D83" s="56" t="s">
        <v>184</v>
      </c>
      <c r="E83" s="56" t="s">
        <v>185</v>
      </c>
      <c r="F83" s="100">
        <v>7</v>
      </c>
      <c r="G83" s="100">
        <v>1</v>
      </c>
      <c r="H83" s="61" t="str">
        <f t="shared" si="0"/>
        <v>Germany</v>
      </c>
      <c r="I83" s="61">
        <f t="shared" si="1"/>
        <v>3</v>
      </c>
      <c r="J83" s="61">
        <f t="shared" si="2"/>
        <v>0</v>
      </c>
    </row>
    <row r="84" spans="1:10" ht="15" customHeight="1">
      <c r="A84" s="59" t="s">
        <v>183</v>
      </c>
      <c r="B84" s="59" t="s">
        <v>155</v>
      </c>
      <c r="C84" s="60" t="s">
        <v>159</v>
      </c>
      <c r="D84" s="56" t="s">
        <v>186</v>
      </c>
      <c r="E84" s="56" t="s">
        <v>187</v>
      </c>
      <c r="F84" s="100">
        <v>1</v>
      </c>
      <c r="G84" s="100">
        <v>0</v>
      </c>
      <c r="H84" s="61" t="str">
        <f t="shared" si="0"/>
        <v>Côte d'Ivoire</v>
      </c>
      <c r="I84" s="61">
        <f t="shared" si="1"/>
        <v>3</v>
      </c>
      <c r="J84" s="61">
        <f t="shared" si="2"/>
        <v>0</v>
      </c>
    </row>
    <row r="85" spans="1:10" ht="15" customHeight="1">
      <c r="A85" s="59" t="s">
        <v>183</v>
      </c>
      <c r="B85" s="59" t="s">
        <v>162</v>
      </c>
      <c r="C85" s="60" t="s">
        <v>163</v>
      </c>
      <c r="D85" s="56" t="s">
        <v>184</v>
      </c>
      <c r="E85" s="56" t="s">
        <v>186</v>
      </c>
      <c r="F85" s="100">
        <v>2</v>
      </c>
      <c r="G85" s="100">
        <v>1</v>
      </c>
      <c r="H85" s="61" t="str">
        <f t="shared" si="0"/>
        <v>Germany</v>
      </c>
      <c r="I85" s="61">
        <f t="shared" si="1"/>
        <v>3</v>
      </c>
      <c r="J85" s="61">
        <f t="shared" si="2"/>
        <v>0</v>
      </c>
    </row>
    <row r="86" spans="1:10" ht="15" customHeight="1">
      <c r="A86" s="59" t="s">
        <v>183</v>
      </c>
      <c r="B86" s="59" t="s">
        <v>162</v>
      </c>
      <c r="C86" s="60" t="s">
        <v>164</v>
      </c>
      <c r="D86" s="56" t="s">
        <v>185</v>
      </c>
      <c r="E86" s="56" t="s">
        <v>187</v>
      </c>
      <c r="F86" s="100">
        <v>0</v>
      </c>
      <c r="G86" s="100">
        <v>0</v>
      </c>
      <c r="H86" s="61" t="str">
        <f t="shared" si="0"/>
        <v>Draw</v>
      </c>
      <c r="I86" s="61">
        <f t="shared" si="1"/>
        <v>1</v>
      </c>
      <c r="J86" s="61">
        <f t="shared" si="2"/>
        <v>1</v>
      </c>
    </row>
    <row r="87" spans="1:10" ht="15" customHeight="1">
      <c r="A87" s="59" t="s">
        <v>183</v>
      </c>
      <c r="B87" s="59" t="s">
        <v>165</v>
      </c>
      <c r="C87" s="60" t="s">
        <v>166</v>
      </c>
      <c r="D87" s="56" t="s">
        <v>184</v>
      </c>
      <c r="E87" s="56" t="s">
        <v>187</v>
      </c>
      <c r="F87" s="100">
        <v>1</v>
      </c>
      <c r="G87" s="100">
        <v>2</v>
      </c>
      <c r="H87" s="61" t="str">
        <f t="shared" si="0"/>
        <v>Ecuador</v>
      </c>
      <c r="I87" s="61">
        <f t="shared" si="1"/>
        <v>0</v>
      </c>
      <c r="J87" s="61">
        <f t="shared" si="2"/>
        <v>3</v>
      </c>
    </row>
    <row r="88" spans="1:10" ht="15" customHeight="1">
      <c r="A88" s="59" t="s">
        <v>183</v>
      </c>
      <c r="B88" s="59" t="s">
        <v>165</v>
      </c>
      <c r="C88" s="60" t="s">
        <v>167</v>
      </c>
      <c r="D88" s="56" t="s">
        <v>185</v>
      </c>
      <c r="E88" s="56" t="s">
        <v>186</v>
      </c>
      <c r="F88" s="100">
        <v>0</v>
      </c>
      <c r="G88" s="100">
        <v>2</v>
      </c>
      <c r="H88" s="61" t="str">
        <f t="shared" si="0"/>
        <v>Côte d'Ivoire</v>
      </c>
      <c r="I88" s="61">
        <f t="shared" si="1"/>
        <v>0</v>
      </c>
      <c r="J88" s="61">
        <f t="shared" si="2"/>
        <v>3</v>
      </c>
    </row>
    <row r="89" spans="1:10" ht="15" customHeight="1">
      <c r="A89" s="59" t="s">
        <v>188</v>
      </c>
      <c r="B89" s="59" t="s">
        <v>155</v>
      </c>
      <c r="C89" s="60" t="s">
        <v>156</v>
      </c>
      <c r="D89" s="56" t="s">
        <v>189</v>
      </c>
      <c r="E89" s="56" t="s">
        <v>190</v>
      </c>
      <c r="F89" s="100">
        <v>2</v>
      </c>
      <c r="G89" s="100">
        <v>2</v>
      </c>
      <c r="H89" s="61" t="str">
        <f t="shared" si="0"/>
        <v>Draw</v>
      </c>
      <c r="I89" s="61">
        <f t="shared" si="1"/>
        <v>1</v>
      </c>
      <c r="J89" s="61">
        <f t="shared" si="2"/>
        <v>1</v>
      </c>
    </row>
    <row r="90" spans="1:10" ht="15" customHeight="1">
      <c r="A90" s="59" t="s">
        <v>188</v>
      </c>
      <c r="B90" s="59" t="s">
        <v>155</v>
      </c>
      <c r="C90" s="60" t="s">
        <v>159</v>
      </c>
      <c r="D90" s="56" t="s">
        <v>191</v>
      </c>
      <c r="E90" s="56" t="s">
        <v>192</v>
      </c>
      <c r="F90" s="100">
        <v>5</v>
      </c>
      <c r="G90" s="100">
        <v>1</v>
      </c>
      <c r="H90" s="61" t="str">
        <f t="shared" si="0"/>
        <v>Sweden</v>
      </c>
      <c r="I90" s="61">
        <f t="shared" si="1"/>
        <v>3</v>
      </c>
      <c r="J90" s="61">
        <f t="shared" si="2"/>
        <v>0</v>
      </c>
    </row>
    <row r="91" spans="1:10" ht="15" customHeight="1">
      <c r="A91" s="59" t="s">
        <v>188</v>
      </c>
      <c r="B91" s="59" t="s">
        <v>162</v>
      </c>
      <c r="C91" s="60" t="s">
        <v>163</v>
      </c>
      <c r="D91" s="56" t="s">
        <v>189</v>
      </c>
      <c r="E91" s="56" t="s">
        <v>191</v>
      </c>
      <c r="F91" s="100">
        <v>5</v>
      </c>
      <c r="G91" s="100">
        <v>1</v>
      </c>
      <c r="H91" s="61" t="str">
        <f t="shared" ref="H91:H122" si="3">IF(OR(F91="",G91=""),"",IF(F91&gt;G91,D91,IF(G91&gt;F91,E91,"Draw")))</f>
        <v>Netherlands</v>
      </c>
      <c r="I91" s="61">
        <f t="shared" ref="I91:I122" si="4">IF(OR(F91="",G91=""),"",IF(F91&gt;G91,3,IF(F91=G91,1,0)))</f>
        <v>3</v>
      </c>
      <c r="J91" s="61">
        <f t="shared" ref="J91:J122" si="5">IF(OR(F91="",G91=""),"",IF(G91&gt;F91,3,IF(F91=G91,1,0)))</f>
        <v>0</v>
      </c>
    </row>
    <row r="92" spans="1:10" ht="15" customHeight="1">
      <c r="A92" s="59" t="s">
        <v>188</v>
      </c>
      <c r="B92" s="59" t="s">
        <v>162</v>
      </c>
      <c r="C92" s="60" t="s">
        <v>164</v>
      </c>
      <c r="D92" s="56" t="s">
        <v>190</v>
      </c>
      <c r="E92" s="56" t="s">
        <v>192</v>
      </c>
      <c r="F92" s="100">
        <v>4</v>
      </c>
      <c r="G92" s="100">
        <v>0</v>
      </c>
      <c r="H92" s="61" t="str">
        <f t="shared" si="3"/>
        <v>Japan</v>
      </c>
      <c r="I92" s="61">
        <f t="shared" si="4"/>
        <v>3</v>
      </c>
      <c r="J92" s="61">
        <f t="shared" si="5"/>
        <v>0</v>
      </c>
    </row>
    <row r="93" spans="1:10" ht="15" customHeight="1">
      <c r="A93" s="59" t="s">
        <v>188</v>
      </c>
      <c r="B93" s="59" t="s">
        <v>165</v>
      </c>
      <c r="C93" s="60" t="s">
        <v>166</v>
      </c>
      <c r="D93" s="56" t="s">
        <v>189</v>
      </c>
      <c r="E93" s="56" t="s">
        <v>192</v>
      </c>
      <c r="F93" s="100">
        <v>3</v>
      </c>
      <c r="G93" s="100">
        <v>1</v>
      </c>
      <c r="H93" s="61" t="str">
        <f t="shared" si="3"/>
        <v>Netherlands</v>
      </c>
      <c r="I93" s="61">
        <f t="shared" si="4"/>
        <v>3</v>
      </c>
      <c r="J93" s="61">
        <f t="shared" si="5"/>
        <v>0</v>
      </c>
    </row>
    <row r="94" spans="1:10" ht="15" customHeight="1">
      <c r="A94" s="59" t="s">
        <v>188</v>
      </c>
      <c r="B94" s="59" t="s">
        <v>165</v>
      </c>
      <c r="C94" s="60" t="s">
        <v>167</v>
      </c>
      <c r="D94" s="56" t="s">
        <v>190</v>
      </c>
      <c r="E94" s="56" t="s">
        <v>191</v>
      </c>
      <c r="F94" s="100">
        <v>1</v>
      </c>
      <c r="G94" s="100">
        <v>1</v>
      </c>
      <c r="H94" s="61" t="str">
        <f t="shared" si="3"/>
        <v>Draw</v>
      </c>
      <c r="I94" s="61">
        <f t="shared" si="4"/>
        <v>1</v>
      </c>
      <c r="J94" s="61">
        <f t="shared" si="5"/>
        <v>1</v>
      </c>
    </row>
    <row r="95" spans="1:10" ht="15" customHeight="1">
      <c r="A95" s="59" t="s">
        <v>193</v>
      </c>
      <c r="B95" s="59" t="s">
        <v>155</v>
      </c>
      <c r="C95" s="60" t="s">
        <v>156</v>
      </c>
      <c r="D95" s="56" t="s">
        <v>194</v>
      </c>
      <c r="E95" s="56" t="s">
        <v>195</v>
      </c>
      <c r="F95" s="100">
        <v>1</v>
      </c>
      <c r="G95" s="100">
        <v>1</v>
      </c>
      <c r="H95" s="61" t="str">
        <f t="shared" si="3"/>
        <v>Draw</v>
      </c>
      <c r="I95" s="61">
        <f t="shared" si="4"/>
        <v>1</v>
      </c>
      <c r="J95" s="61">
        <f t="shared" si="5"/>
        <v>1</v>
      </c>
    </row>
    <row r="96" spans="1:10" ht="15" customHeight="1">
      <c r="A96" s="59" t="s">
        <v>193</v>
      </c>
      <c r="B96" s="59" t="s">
        <v>155</v>
      </c>
      <c r="C96" s="60" t="s">
        <v>159</v>
      </c>
      <c r="D96" s="56" t="s">
        <v>196</v>
      </c>
      <c r="E96" s="56" t="s">
        <v>197</v>
      </c>
      <c r="F96" s="100">
        <v>2</v>
      </c>
      <c r="G96" s="100">
        <v>2</v>
      </c>
      <c r="H96" s="61" t="str">
        <f t="shared" si="3"/>
        <v>Draw</v>
      </c>
      <c r="I96" s="61">
        <f t="shared" si="4"/>
        <v>1</v>
      </c>
      <c r="J96" s="61">
        <f t="shared" si="5"/>
        <v>1</v>
      </c>
    </row>
    <row r="97" spans="1:10" ht="15" customHeight="1">
      <c r="A97" s="59" t="s">
        <v>193</v>
      </c>
      <c r="B97" s="59" t="s">
        <v>162</v>
      </c>
      <c r="C97" s="60" t="s">
        <v>163</v>
      </c>
      <c r="D97" s="56" t="s">
        <v>194</v>
      </c>
      <c r="E97" s="56" t="s">
        <v>196</v>
      </c>
      <c r="F97" s="100">
        <v>0</v>
      </c>
      <c r="G97" s="100">
        <v>0</v>
      </c>
      <c r="H97" s="61" t="str">
        <f t="shared" si="3"/>
        <v>Draw</v>
      </c>
      <c r="I97" s="61">
        <f t="shared" si="4"/>
        <v>1</v>
      </c>
      <c r="J97" s="61">
        <f t="shared" si="5"/>
        <v>1</v>
      </c>
    </row>
    <row r="98" spans="1:10" ht="15" customHeight="1">
      <c r="A98" s="59" t="s">
        <v>193</v>
      </c>
      <c r="B98" s="59" t="s">
        <v>162</v>
      </c>
      <c r="C98" s="60" t="s">
        <v>164</v>
      </c>
      <c r="D98" s="56" t="s">
        <v>195</v>
      </c>
      <c r="E98" s="56" t="s">
        <v>197</v>
      </c>
      <c r="F98" s="100">
        <v>3</v>
      </c>
      <c r="G98" s="100">
        <v>1</v>
      </c>
      <c r="H98" s="61" t="str">
        <f t="shared" si="3"/>
        <v>Egypt</v>
      </c>
      <c r="I98" s="61">
        <f t="shared" si="4"/>
        <v>3</v>
      </c>
      <c r="J98" s="61">
        <f t="shared" si="5"/>
        <v>0</v>
      </c>
    </row>
    <row r="99" spans="1:10" ht="15" customHeight="1">
      <c r="A99" s="59" t="s">
        <v>193</v>
      </c>
      <c r="B99" s="59" t="s">
        <v>165</v>
      </c>
      <c r="C99" s="60" t="s">
        <v>166</v>
      </c>
      <c r="D99" s="56" t="s">
        <v>194</v>
      </c>
      <c r="E99" s="56" t="s">
        <v>197</v>
      </c>
      <c r="F99" s="100">
        <v>5</v>
      </c>
      <c r="G99" s="100">
        <v>1</v>
      </c>
      <c r="H99" s="61" t="str">
        <f t="shared" si="3"/>
        <v>Belgium</v>
      </c>
      <c r="I99" s="61">
        <f t="shared" si="4"/>
        <v>3</v>
      </c>
      <c r="J99" s="61">
        <f t="shared" si="5"/>
        <v>0</v>
      </c>
    </row>
    <row r="100" spans="1:10" ht="15" customHeight="1">
      <c r="A100" s="59" t="s">
        <v>193</v>
      </c>
      <c r="B100" s="59" t="s">
        <v>165</v>
      </c>
      <c r="C100" s="60" t="s">
        <v>167</v>
      </c>
      <c r="D100" s="56" t="s">
        <v>195</v>
      </c>
      <c r="E100" s="56" t="s">
        <v>196</v>
      </c>
      <c r="F100" s="100">
        <v>1</v>
      </c>
      <c r="G100" s="100">
        <v>1</v>
      </c>
      <c r="H100" s="61" t="str">
        <f t="shared" si="3"/>
        <v>Draw</v>
      </c>
      <c r="I100" s="61">
        <f t="shared" si="4"/>
        <v>1</v>
      </c>
      <c r="J100" s="61">
        <f t="shared" si="5"/>
        <v>1</v>
      </c>
    </row>
    <row r="101" spans="1:10" ht="15" customHeight="1">
      <c r="A101" s="59" t="s">
        <v>198</v>
      </c>
      <c r="B101" s="59" t="s">
        <v>155</v>
      </c>
      <c r="C101" s="60" t="s">
        <v>156</v>
      </c>
      <c r="D101" s="56" t="s">
        <v>199</v>
      </c>
      <c r="E101" s="56" t="s">
        <v>200</v>
      </c>
      <c r="F101" s="100">
        <v>0</v>
      </c>
      <c r="G101" s="100">
        <v>0</v>
      </c>
      <c r="H101" s="61" t="str">
        <f t="shared" si="3"/>
        <v>Draw</v>
      </c>
      <c r="I101" s="61">
        <f t="shared" si="4"/>
        <v>1</v>
      </c>
      <c r="J101" s="61">
        <f t="shared" si="5"/>
        <v>1</v>
      </c>
    </row>
    <row r="102" spans="1:10" ht="15" customHeight="1">
      <c r="A102" s="59" t="s">
        <v>198</v>
      </c>
      <c r="B102" s="59" t="s">
        <v>155</v>
      </c>
      <c r="C102" s="60" t="s">
        <v>159</v>
      </c>
      <c r="D102" s="56" t="s">
        <v>201</v>
      </c>
      <c r="E102" s="56" t="s">
        <v>202</v>
      </c>
      <c r="F102" s="100">
        <v>1</v>
      </c>
      <c r="G102" s="100">
        <v>1</v>
      </c>
      <c r="H102" s="61" t="str">
        <f t="shared" si="3"/>
        <v>Draw</v>
      </c>
      <c r="I102" s="61">
        <f t="shared" si="4"/>
        <v>1</v>
      </c>
      <c r="J102" s="61">
        <f t="shared" si="5"/>
        <v>1</v>
      </c>
    </row>
    <row r="103" spans="1:10" ht="15" customHeight="1">
      <c r="A103" s="59" t="s">
        <v>198</v>
      </c>
      <c r="B103" s="59" t="s">
        <v>162</v>
      </c>
      <c r="C103" s="60" t="s">
        <v>163</v>
      </c>
      <c r="D103" s="56" t="s">
        <v>199</v>
      </c>
      <c r="E103" s="56" t="s">
        <v>201</v>
      </c>
      <c r="F103" s="100">
        <v>4</v>
      </c>
      <c r="G103" s="100">
        <v>0</v>
      </c>
      <c r="H103" s="61" t="str">
        <f t="shared" si="3"/>
        <v>Spain</v>
      </c>
      <c r="I103" s="61">
        <f t="shared" si="4"/>
        <v>3</v>
      </c>
      <c r="J103" s="61">
        <f t="shared" si="5"/>
        <v>0</v>
      </c>
    </row>
    <row r="104" spans="1:10" ht="15" customHeight="1">
      <c r="A104" s="59" t="s">
        <v>198</v>
      </c>
      <c r="B104" s="59" t="s">
        <v>162</v>
      </c>
      <c r="C104" s="60" t="s">
        <v>164</v>
      </c>
      <c r="D104" s="56" t="s">
        <v>200</v>
      </c>
      <c r="E104" s="56" t="s">
        <v>202</v>
      </c>
      <c r="F104" s="100">
        <v>2</v>
      </c>
      <c r="G104" s="100">
        <v>2</v>
      </c>
      <c r="H104" s="61" t="str">
        <f t="shared" si="3"/>
        <v>Draw</v>
      </c>
      <c r="I104" s="61">
        <f t="shared" si="4"/>
        <v>1</v>
      </c>
      <c r="J104" s="61">
        <f t="shared" si="5"/>
        <v>1</v>
      </c>
    </row>
    <row r="105" spans="1:10" ht="15" customHeight="1">
      <c r="A105" s="59" t="s">
        <v>198</v>
      </c>
      <c r="B105" s="59" t="s">
        <v>165</v>
      </c>
      <c r="C105" s="60" t="s">
        <v>166</v>
      </c>
      <c r="D105" s="56" t="s">
        <v>199</v>
      </c>
      <c r="E105" s="56" t="s">
        <v>202</v>
      </c>
      <c r="F105" s="100">
        <v>1</v>
      </c>
      <c r="G105" s="100">
        <v>0</v>
      </c>
      <c r="H105" s="61" t="str">
        <f t="shared" si="3"/>
        <v>Spain</v>
      </c>
      <c r="I105" s="61">
        <f t="shared" si="4"/>
        <v>3</v>
      </c>
      <c r="J105" s="61">
        <f t="shared" si="5"/>
        <v>0</v>
      </c>
    </row>
    <row r="106" spans="1:10" ht="15" customHeight="1">
      <c r="A106" s="59" t="s">
        <v>198</v>
      </c>
      <c r="B106" s="59" t="s">
        <v>165</v>
      </c>
      <c r="C106" s="60" t="s">
        <v>167</v>
      </c>
      <c r="D106" s="56" t="s">
        <v>200</v>
      </c>
      <c r="E106" s="56" t="s">
        <v>201</v>
      </c>
      <c r="F106" s="100">
        <v>0</v>
      </c>
      <c r="G106" s="100">
        <v>0</v>
      </c>
      <c r="H106" s="61" t="str">
        <f t="shared" si="3"/>
        <v>Draw</v>
      </c>
      <c r="I106" s="61">
        <f t="shared" si="4"/>
        <v>1</v>
      </c>
      <c r="J106" s="61">
        <f t="shared" si="5"/>
        <v>1</v>
      </c>
    </row>
    <row r="107" spans="1:10" ht="15" customHeight="1">
      <c r="A107" s="59" t="s">
        <v>203</v>
      </c>
      <c r="B107" s="59" t="s">
        <v>155</v>
      </c>
      <c r="C107" s="60" t="s">
        <v>156</v>
      </c>
      <c r="D107" s="56" t="s">
        <v>204</v>
      </c>
      <c r="E107" s="56" t="s">
        <v>205</v>
      </c>
      <c r="F107" s="100">
        <v>3</v>
      </c>
      <c r="G107" s="100">
        <v>1</v>
      </c>
      <c r="H107" s="61" t="str">
        <f t="shared" si="3"/>
        <v>France</v>
      </c>
      <c r="I107" s="61">
        <f t="shared" si="4"/>
        <v>3</v>
      </c>
      <c r="J107" s="61">
        <f t="shared" si="5"/>
        <v>0</v>
      </c>
    </row>
    <row r="108" spans="1:10" ht="15" customHeight="1">
      <c r="A108" s="59" t="s">
        <v>203</v>
      </c>
      <c r="B108" s="59" t="s">
        <v>155</v>
      </c>
      <c r="C108" s="60" t="s">
        <v>159</v>
      </c>
      <c r="D108" s="56" t="s">
        <v>206</v>
      </c>
      <c r="E108" s="56" t="s">
        <v>207</v>
      </c>
      <c r="F108" s="100">
        <v>1</v>
      </c>
      <c r="G108" s="100">
        <v>4</v>
      </c>
      <c r="H108" s="61" t="str">
        <f t="shared" si="3"/>
        <v>Norway</v>
      </c>
      <c r="I108" s="61">
        <f t="shared" si="4"/>
        <v>0</v>
      </c>
      <c r="J108" s="61">
        <f t="shared" si="5"/>
        <v>3</v>
      </c>
    </row>
    <row r="109" spans="1:10" ht="15" customHeight="1">
      <c r="A109" s="59" t="s">
        <v>203</v>
      </c>
      <c r="B109" s="59" t="s">
        <v>162</v>
      </c>
      <c r="C109" s="60" t="s">
        <v>163</v>
      </c>
      <c r="D109" s="56" t="s">
        <v>204</v>
      </c>
      <c r="E109" s="56" t="s">
        <v>206</v>
      </c>
      <c r="F109" s="100">
        <v>3</v>
      </c>
      <c r="G109" s="100">
        <v>0</v>
      </c>
      <c r="H109" s="61" t="str">
        <f t="shared" si="3"/>
        <v>France</v>
      </c>
      <c r="I109" s="61">
        <f t="shared" si="4"/>
        <v>3</v>
      </c>
      <c r="J109" s="61">
        <f t="shared" si="5"/>
        <v>0</v>
      </c>
    </row>
    <row r="110" spans="1:10" ht="15" customHeight="1">
      <c r="A110" s="59" t="s">
        <v>203</v>
      </c>
      <c r="B110" s="59" t="s">
        <v>162</v>
      </c>
      <c r="C110" s="60" t="s">
        <v>164</v>
      </c>
      <c r="D110" s="56" t="s">
        <v>205</v>
      </c>
      <c r="E110" s="56" t="s">
        <v>207</v>
      </c>
      <c r="F110" s="100">
        <v>2</v>
      </c>
      <c r="G110" s="100">
        <v>3</v>
      </c>
      <c r="H110" s="61" t="str">
        <f t="shared" si="3"/>
        <v>Norway</v>
      </c>
      <c r="I110" s="61">
        <f t="shared" si="4"/>
        <v>0</v>
      </c>
      <c r="J110" s="61">
        <f t="shared" si="5"/>
        <v>3</v>
      </c>
    </row>
    <row r="111" spans="1:10" ht="15" customHeight="1">
      <c r="A111" s="59" t="s">
        <v>203</v>
      </c>
      <c r="B111" s="59" t="s">
        <v>165</v>
      </c>
      <c r="C111" s="60" t="s">
        <v>166</v>
      </c>
      <c r="D111" s="56" t="s">
        <v>204</v>
      </c>
      <c r="E111" s="56" t="s">
        <v>207</v>
      </c>
      <c r="F111" s="100">
        <v>4</v>
      </c>
      <c r="G111" s="100">
        <v>1</v>
      </c>
      <c r="H111" s="61" t="str">
        <f t="shared" si="3"/>
        <v>France</v>
      </c>
      <c r="I111" s="61">
        <f t="shared" si="4"/>
        <v>3</v>
      </c>
      <c r="J111" s="61">
        <f t="shared" si="5"/>
        <v>0</v>
      </c>
    </row>
    <row r="112" spans="1:10" ht="15" customHeight="1">
      <c r="A112" s="59" t="s">
        <v>203</v>
      </c>
      <c r="B112" s="59" t="s">
        <v>165</v>
      </c>
      <c r="C112" s="60" t="s">
        <v>167</v>
      </c>
      <c r="D112" s="56" t="s">
        <v>205</v>
      </c>
      <c r="E112" s="56" t="s">
        <v>206</v>
      </c>
      <c r="F112" s="100">
        <v>5</v>
      </c>
      <c r="G112" s="100">
        <v>0</v>
      </c>
      <c r="H112" s="61" t="str">
        <f t="shared" si="3"/>
        <v>Senegal</v>
      </c>
      <c r="I112" s="61">
        <f t="shared" si="4"/>
        <v>3</v>
      </c>
      <c r="J112" s="61">
        <f t="shared" si="5"/>
        <v>0</v>
      </c>
    </row>
    <row r="113" spans="1:10" ht="15" customHeight="1">
      <c r="A113" s="59" t="s">
        <v>208</v>
      </c>
      <c r="B113" s="59" t="s">
        <v>155</v>
      </c>
      <c r="C113" s="60" t="s">
        <v>156</v>
      </c>
      <c r="D113" s="56" t="s">
        <v>209</v>
      </c>
      <c r="E113" s="56" t="s">
        <v>210</v>
      </c>
      <c r="F113" s="100">
        <v>3</v>
      </c>
      <c r="G113" s="100">
        <v>0</v>
      </c>
      <c r="H113" s="61" t="str">
        <f t="shared" si="3"/>
        <v>Argentina</v>
      </c>
      <c r="I113" s="61">
        <f t="shared" si="4"/>
        <v>3</v>
      </c>
      <c r="J113" s="61">
        <f t="shared" si="5"/>
        <v>0</v>
      </c>
    </row>
    <row r="114" spans="1:10" ht="15" customHeight="1">
      <c r="A114" s="59" t="s">
        <v>208</v>
      </c>
      <c r="B114" s="59" t="s">
        <v>155</v>
      </c>
      <c r="C114" s="60" t="s">
        <v>159</v>
      </c>
      <c r="D114" s="56" t="s">
        <v>211</v>
      </c>
      <c r="E114" s="56" t="s">
        <v>212</v>
      </c>
      <c r="F114" s="100">
        <v>3</v>
      </c>
      <c r="G114" s="100">
        <v>1</v>
      </c>
      <c r="H114" s="61" t="str">
        <f t="shared" si="3"/>
        <v>Austria</v>
      </c>
      <c r="I114" s="61">
        <f t="shared" si="4"/>
        <v>3</v>
      </c>
      <c r="J114" s="61">
        <f t="shared" si="5"/>
        <v>0</v>
      </c>
    </row>
    <row r="115" spans="1:10" ht="15" customHeight="1">
      <c r="A115" s="59" t="s">
        <v>208</v>
      </c>
      <c r="B115" s="59" t="s">
        <v>162</v>
      </c>
      <c r="C115" s="60" t="s">
        <v>163</v>
      </c>
      <c r="D115" s="56" t="s">
        <v>209</v>
      </c>
      <c r="E115" s="56" t="s">
        <v>211</v>
      </c>
      <c r="F115" s="100">
        <v>2</v>
      </c>
      <c r="G115" s="100">
        <v>0</v>
      </c>
      <c r="H115" s="61" t="str">
        <f t="shared" si="3"/>
        <v>Argentina</v>
      </c>
      <c r="I115" s="61">
        <f t="shared" si="4"/>
        <v>3</v>
      </c>
      <c r="J115" s="61">
        <f t="shared" si="5"/>
        <v>0</v>
      </c>
    </row>
    <row r="116" spans="1:10" ht="15" customHeight="1">
      <c r="A116" s="59" t="s">
        <v>208</v>
      </c>
      <c r="B116" s="59" t="s">
        <v>162</v>
      </c>
      <c r="C116" s="60" t="s">
        <v>164</v>
      </c>
      <c r="D116" s="56" t="s">
        <v>210</v>
      </c>
      <c r="E116" s="56" t="s">
        <v>212</v>
      </c>
      <c r="F116" s="100">
        <v>2</v>
      </c>
      <c r="G116" s="100">
        <v>1</v>
      </c>
      <c r="H116" s="61" t="str">
        <f t="shared" si="3"/>
        <v>Algeria</v>
      </c>
      <c r="I116" s="61">
        <f t="shared" si="4"/>
        <v>3</v>
      </c>
      <c r="J116" s="61">
        <f t="shared" si="5"/>
        <v>0</v>
      </c>
    </row>
    <row r="117" spans="1:10" ht="15" customHeight="1">
      <c r="A117" s="59" t="s">
        <v>208</v>
      </c>
      <c r="B117" s="59" t="s">
        <v>165</v>
      </c>
      <c r="C117" s="60" t="s">
        <v>166</v>
      </c>
      <c r="D117" s="56" t="s">
        <v>209</v>
      </c>
      <c r="E117" s="56" t="s">
        <v>212</v>
      </c>
      <c r="F117" s="100">
        <v>3</v>
      </c>
      <c r="G117" s="100">
        <v>1</v>
      </c>
      <c r="H117" s="61" t="str">
        <f t="shared" si="3"/>
        <v>Argentina</v>
      </c>
      <c r="I117" s="61">
        <f t="shared" si="4"/>
        <v>3</v>
      </c>
      <c r="J117" s="61">
        <f t="shared" si="5"/>
        <v>0</v>
      </c>
    </row>
    <row r="118" spans="1:10" ht="15" customHeight="1">
      <c r="A118" s="59" t="s">
        <v>208</v>
      </c>
      <c r="B118" s="59" t="s">
        <v>165</v>
      </c>
      <c r="C118" s="60" t="s">
        <v>167</v>
      </c>
      <c r="D118" s="56" t="s">
        <v>210</v>
      </c>
      <c r="E118" s="56" t="s">
        <v>211</v>
      </c>
      <c r="F118" s="100">
        <v>3</v>
      </c>
      <c r="G118" s="100">
        <v>3</v>
      </c>
      <c r="H118" s="61" t="str">
        <f t="shared" si="3"/>
        <v>Draw</v>
      </c>
      <c r="I118" s="61">
        <f t="shared" si="4"/>
        <v>1</v>
      </c>
      <c r="J118" s="61">
        <f t="shared" si="5"/>
        <v>1</v>
      </c>
    </row>
    <row r="119" spans="1:10" ht="15" customHeight="1">
      <c r="A119" s="59" t="s">
        <v>213</v>
      </c>
      <c r="B119" s="59" t="s">
        <v>155</v>
      </c>
      <c r="C119" s="60" t="s">
        <v>156</v>
      </c>
      <c r="D119" s="56" t="s">
        <v>214</v>
      </c>
      <c r="E119" s="56" t="s">
        <v>215</v>
      </c>
      <c r="F119" s="100">
        <v>0</v>
      </c>
      <c r="G119" s="100">
        <v>0</v>
      </c>
      <c r="H119" s="61" t="str">
        <f t="shared" si="3"/>
        <v>Draw</v>
      </c>
      <c r="I119" s="61">
        <f t="shared" si="4"/>
        <v>1</v>
      </c>
      <c r="J119" s="61">
        <f t="shared" si="5"/>
        <v>1</v>
      </c>
    </row>
    <row r="120" spans="1:10" ht="15" customHeight="1">
      <c r="A120" s="59" t="s">
        <v>213</v>
      </c>
      <c r="B120" s="59" t="s">
        <v>155</v>
      </c>
      <c r="C120" s="60" t="s">
        <v>159</v>
      </c>
      <c r="D120" s="56" t="s">
        <v>216</v>
      </c>
      <c r="E120" s="56" t="s">
        <v>217</v>
      </c>
      <c r="F120" s="100">
        <v>1</v>
      </c>
      <c r="G120" s="100">
        <v>3</v>
      </c>
      <c r="H120" s="61" t="str">
        <f t="shared" si="3"/>
        <v>Congo DR</v>
      </c>
      <c r="I120" s="61">
        <f t="shared" si="4"/>
        <v>0</v>
      </c>
      <c r="J120" s="61">
        <f t="shared" si="5"/>
        <v>3</v>
      </c>
    </row>
    <row r="121" spans="1:10" ht="15" customHeight="1">
      <c r="A121" s="59" t="s">
        <v>213</v>
      </c>
      <c r="B121" s="59" t="s">
        <v>162</v>
      </c>
      <c r="C121" s="60" t="s">
        <v>163</v>
      </c>
      <c r="D121" s="56" t="s">
        <v>214</v>
      </c>
      <c r="E121" s="56" t="s">
        <v>216</v>
      </c>
      <c r="F121" s="100">
        <v>3</v>
      </c>
      <c r="G121" s="100">
        <v>1</v>
      </c>
      <c r="H121" s="61" t="str">
        <f t="shared" si="3"/>
        <v>Colombia</v>
      </c>
      <c r="I121" s="61">
        <f t="shared" si="4"/>
        <v>3</v>
      </c>
      <c r="J121" s="61">
        <f t="shared" si="5"/>
        <v>0</v>
      </c>
    </row>
    <row r="122" spans="1:10" ht="15" customHeight="1">
      <c r="A122" s="59" t="s">
        <v>213</v>
      </c>
      <c r="B122" s="59" t="s">
        <v>162</v>
      </c>
      <c r="C122" s="60" t="s">
        <v>164</v>
      </c>
      <c r="D122" s="56" t="s">
        <v>215</v>
      </c>
      <c r="E122" s="56" t="s">
        <v>217</v>
      </c>
      <c r="F122" s="100">
        <v>1</v>
      </c>
      <c r="G122" s="100">
        <v>1</v>
      </c>
      <c r="H122" s="61" t="str">
        <f t="shared" si="3"/>
        <v>Draw</v>
      </c>
      <c r="I122" s="61">
        <f t="shared" si="4"/>
        <v>1</v>
      </c>
      <c r="J122" s="61">
        <f t="shared" si="5"/>
        <v>1</v>
      </c>
    </row>
    <row r="123" spans="1:10" ht="15" customHeight="1">
      <c r="A123" s="59" t="s">
        <v>213</v>
      </c>
      <c r="B123" s="59" t="s">
        <v>165</v>
      </c>
      <c r="C123" s="60" t="s">
        <v>166</v>
      </c>
      <c r="D123" s="56" t="s">
        <v>214</v>
      </c>
      <c r="E123" s="56" t="s">
        <v>217</v>
      </c>
      <c r="F123" s="100">
        <v>1</v>
      </c>
      <c r="G123" s="100">
        <v>0</v>
      </c>
      <c r="H123" s="61" t="str">
        <f t="shared" ref="H123:H130" si="6">IF(OR(F123="",G123=""),"",IF(F123&gt;G123,D123,IF(G123&gt;F123,E123,"Draw")))</f>
        <v>Colombia</v>
      </c>
      <c r="I123" s="61">
        <f t="shared" ref="I123:I130" si="7">IF(OR(F123="",G123=""),"",IF(F123&gt;G123,3,IF(F123=G123,1,0)))</f>
        <v>3</v>
      </c>
      <c r="J123" s="61">
        <f t="shared" ref="J123:J130" si="8">IF(OR(F123="",G123=""),"",IF(G123&gt;F123,3,IF(F123=G123,1,0)))</f>
        <v>0</v>
      </c>
    </row>
    <row r="124" spans="1:10" ht="15" customHeight="1">
      <c r="A124" s="59" t="s">
        <v>213</v>
      </c>
      <c r="B124" s="59" t="s">
        <v>165</v>
      </c>
      <c r="C124" s="60" t="s">
        <v>167</v>
      </c>
      <c r="D124" s="56" t="s">
        <v>215</v>
      </c>
      <c r="E124" s="56" t="s">
        <v>216</v>
      </c>
      <c r="F124" s="100">
        <v>5</v>
      </c>
      <c r="G124" s="100">
        <v>0</v>
      </c>
      <c r="H124" s="61" t="str">
        <f t="shared" si="6"/>
        <v>Portugal</v>
      </c>
      <c r="I124" s="61">
        <f t="shared" si="7"/>
        <v>3</v>
      </c>
      <c r="J124" s="61">
        <f t="shared" si="8"/>
        <v>0</v>
      </c>
    </row>
    <row r="125" spans="1:10" ht="15" customHeight="1">
      <c r="A125" s="59" t="s">
        <v>218</v>
      </c>
      <c r="B125" s="59" t="s">
        <v>155</v>
      </c>
      <c r="C125" s="60" t="s">
        <v>156</v>
      </c>
      <c r="D125" s="56" t="s">
        <v>219</v>
      </c>
      <c r="E125" s="56" t="s">
        <v>220</v>
      </c>
      <c r="F125" s="100">
        <v>4</v>
      </c>
      <c r="G125" s="100">
        <v>2</v>
      </c>
      <c r="H125" s="61" t="str">
        <f t="shared" si="6"/>
        <v>England</v>
      </c>
      <c r="I125" s="61">
        <f t="shared" si="7"/>
        <v>3</v>
      </c>
      <c r="J125" s="61">
        <f t="shared" si="8"/>
        <v>0</v>
      </c>
    </row>
    <row r="126" spans="1:10" ht="15" customHeight="1">
      <c r="A126" s="59" t="s">
        <v>218</v>
      </c>
      <c r="B126" s="59" t="s">
        <v>155</v>
      </c>
      <c r="C126" s="60" t="s">
        <v>159</v>
      </c>
      <c r="D126" s="56" t="s">
        <v>221</v>
      </c>
      <c r="E126" s="56" t="s">
        <v>222</v>
      </c>
      <c r="F126" s="100">
        <v>1</v>
      </c>
      <c r="G126" s="100">
        <v>0</v>
      </c>
      <c r="H126" s="61" t="str">
        <f t="shared" si="6"/>
        <v>Ghana</v>
      </c>
      <c r="I126" s="61">
        <f t="shared" si="7"/>
        <v>3</v>
      </c>
      <c r="J126" s="61">
        <f t="shared" si="8"/>
        <v>0</v>
      </c>
    </row>
    <row r="127" spans="1:10" ht="15" customHeight="1">
      <c r="A127" s="59" t="s">
        <v>218</v>
      </c>
      <c r="B127" s="59" t="s">
        <v>162</v>
      </c>
      <c r="C127" s="60" t="s">
        <v>163</v>
      </c>
      <c r="D127" s="56" t="s">
        <v>219</v>
      </c>
      <c r="E127" s="56" t="s">
        <v>221</v>
      </c>
      <c r="F127" s="100">
        <v>0</v>
      </c>
      <c r="G127" s="100">
        <v>0</v>
      </c>
      <c r="H127" s="61" t="str">
        <f t="shared" si="6"/>
        <v>Draw</v>
      </c>
      <c r="I127" s="61">
        <f t="shared" si="7"/>
        <v>1</v>
      </c>
      <c r="J127" s="61">
        <f t="shared" si="8"/>
        <v>1</v>
      </c>
    </row>
    <row r="128" spans="1:10" ht="15" customHeight="1">
      <c r="A128" s="59" t="s">
        <v>218</v>
      </c>
      <c r="B128" s="59" t="s">
        <v>162</v>
      </c>
      <c r="C128" s="60" t="s">
        <v>164</v>
      </c>
      <c r="D128" s="56" t="s">
        <v>220</v>
      </c>
      <c r="E128" s="56" t="s">
        <v>222</v>
      </c>
      <c r="F128" s="100">
        <v>1</v>
      </c>
      <c r="G128" s="100">
        <v>0</v>
      </c>
      <c r="H128" s="61" t="str">
        <f t="shared" si="6"/>
        <v>Croatia</v>
      </c>
      <c r="I128" s="61">
        <f t="shared" si="7"/>
        <v>3</v>
      </c>
      <c r="J128" s="61">
        <f t="shared" si="8"/>
        <v>0</v>
      </c>
    </row>
    <row r="129" spans="1:14" ht="15" customHeight="1">
      <c r="A129" s="59" t="s">
        <v>218</v>
      </c>
      <c r="B129" s="59" t="s">
        <v>165</v>
      </c>
      <c r="C129" s="60" t="s">
        <v>166</v>
      </c>
      <c r="D129" s="56" t="s">
        <v>219</v>
      </c>
      <c r="E129" s="56" t="s">
        <v>222</v>
      </c>
      <c r="F129" s="100">
        <v>2</v>
      </c>
      <c r="G129" s="100">
        <v>0</v>
      </c>
      <c r="H129" s="61" t="str">
        <f t="shared" si="6"/>
        <v>England</v>
      </c>
      <c r="I129" s="61">
        <f t="shared" si="7"/>
        <v>3</v>
      </c>
      <c r="J129" s="61">
        <f t="shared" si="8"/>
        <v>0</v>
      </c>
    </row>
    <row r="130" spans="1:14" ht="15" customHeight="1">
      <c r="A130" s="59" t="s">
        <v>218</v>
      </c>
      <c r="B130" s="59" t="s">
        <v>165</v>
      </c>
      <c r="C130" s="60" t="s">
        <v>167</v>
      </c>
      <c r="D130" s="56" t="s">
        <v>220</v>
      </c>
      <c r="E130" s="56" t="s">
        <v>221</v>
      </c>
      <c r="F130" s="100">
        <v>2</v>
      </c>
      <c r="G130" s="100">
        <v>1</v>
      </c>
      <c r="H130" s="61" t="str">
        <f t="shared" si="6"/>
        <v>Croatia</v>
      </c>
      <c r="I130" s="61">
        <f t="shared" si="7"/>
        <v>3</v>
      </c>
      <c r="J130" s="61">
        <f t="shared" si="8"/>
        <v>0</v>
      </c>
    </row>
    <row r="133" spans="1:14" ht="24" customHeight="1">
      <c r="A133" s="163" t="s">
        <v>223</v>
      </c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1"/>
    </row>
    <row r="134" spans="1:14" ht="21.75" customHeight="1">
      <c r="A134" s="58" t="s">
        <v>146</v>
      </c>
      <c r="B134" s="58" t="s">
        <v>88</v>
      </c>
      <c r="C134" s="58" t="s">
        <v>224</v>
      </c>
      <c r="D134" s="58" t="s">
        <v>225</v>
      </c>
      <c r="E134" s="58" t="s">
        <v>178</v>
      </c>
      <c r="F134" s="58" t="s">
        <v>218</v>
      </c>
      <c r="G134" s="58" t="s">
        <v>91</v>
      </c>
      <c r="H134" s="58" t="s">
        <v>226</v>
      </c>
      <c r="I134" s="58" t="s">
        <v>90</v>
      </c>
      <c r="J134" s="58" t="s">
        <v>89</v>
      </c>
      <c r="K134" s="58" t="s">
        <v>227</v>
      </c>
      <c r="L134" s="58" t="s">
        <v>228</v>
      </c>
      <c r="M134" s="58" t="s">
        <v>229</v>
      </c>
      <c r="N134" s="58" t="s">
        <v>92</v>
      </c>
    </row>
    <row r="135" spans="1:14" ht="15" customHeight="1">
      <c r="A135" s="59" t="s">
        <v>154</v>
      </c>
      <c r="B135" s="60" t="s">
        <v>157</v>
      </c>
      <c r="C135" s="56">
        <f t="shared" ref="C135:C182" si="9">D135+E135+F135</f>
        <v>3</v>
      </c>
      <c r="D135" s="56">
        <f t="shared" ref="D135:D182" si="10">SUMPRODUCT(--($D$59:$D$130=$B135),--($I$59:$I$130=3))+SUMPRODUCT(--($E$59:$E$130=$B135),--($J$59:$J$130=3))</f>
        <v>3</v>
      </c>
      <c r="E135" s="56">
        <f t="shared" ref="E135:E182" si="11">SUMPRODUCT(--($D$59:$D$130=$B135),--($I$59:$I$130=1))+SUMPRODUCT(--($E$59:$E$130=$B135),--($J$59:$J$130=1))</f>
        <v>0</v>
      </c>
      <c r="F135" s="56">
        <f t="shared" ref="F135:F182" si="12">SUMPRODUCT(--($D$59:$D$130=$B135),--($I$59:$I$130=0))+SUMPRODUCT(--($E$59:$E$130=$B135),--($J$59:$J$130=0))</f>
        <v>0</v>
      </c>
      <c r="G135" s="56">
        <f t="shared" ref="G135:G182" si="13">SUMIFS($F$59:$F$130,$D$59:$D$130,$B135)+SUMIFS($G$59:$G$130,$E$59:$E$130,$B135)</f>
        <v>6</v>
      </c>
      <c r="H135" s="56">
        <f t="shared" ref="H135:H182" si="14">SUMIFS($G$59:$G$130,$D$59:$D$130,$B135)+SUMIFS($F$59:$F$130,$E$59:$E$130,$B135)</f>
        <v>0</v>
      </c>
      <c r="I135" s="56">
        <f t="shared" ref="I135:I182" si="15">G135-H135</f>
        <v>6</v>
      </c>
      <c r="J135" s="56">
        <f t="shared" ref="J135:J182" si="16">D135*3+E135</f>
        <v>9</v>
      </c>
      <c r="K135" s="56">
        <f t="shared" ref="K135:K182" si="17">J135*1000000+I135*1000+G135</f>
        <v>9006006</v>
      </c>
      <c r="L135" s="56">
        <f>1+SUMPRODUCT(--($A$135:$A$138=$A135),--($K$135:$K$138&gt;K135))+SUMPRODUCT(--($A$135:$A$138=$A135),--($K$135:$K$138=K135),--(ROW($B$135:$B$138)&lt;ROW(B135)))</f>
        <v>1</v>
      </c>
      <c r="M135" s="56" t="str" cm="1">
        <f t="array" ref="M135">IF(L135=3,1+SUMPRODUCT(--($L$135:$L$182=3),--($K$135:$K$182&gt;K135))+SUMPRODUCT(--($L$135:$L$182=3),--($K$135:$K$182=K135),--(((($B$135:$B$182="Ghana")*(-3)+($B$135:$B$182="Ecuador")*(-5)))&gt;IF($B135="Ghana",-3,IF($B135="Ecuador",-5,0))))+SUMPRODUCT(--($L$135:$L$182=3),--($K$135:$K$182=K135),--(((($B$135:$B$182="Ghana")*(-3)+($B$135:$B$182="Ecuador")*(-5)))=IF($B135="Ghana",-3,IF($B135="Ecuador",-5,0))),--(ROW($B$135:$B$182)&lt;ROW(B135))),"")</f>
        <v/>
      </c>
      <c r="N135" s="56" t="str">
        <f t="shared" ref="N135:N182" si="18">IF(L135&lt;=2,"Yes",IF(AND(L135=3,M135&lt;=8),"Yes","No"))</f>
        <v>Yes</v>
      </c>
    </row>
    <row r="136" spans="1:14" ht="15" customHeight="1">
      <c r="A136" s="59" t="s">
        <v>154</v>
      </c>
      <c r="B136" s="60" t="s">
        <v>158</v>
      </c>
      <c r="C136" s="56">
        <f t="shared" si="9"/>
        <v>3</v>
      </c>
      <c r="D136" s="56">
        <f t="shared" si="10"/>
        <v>1</v>
      </c>
      <c r="E136" s="56">
        <f t="shared" si="11"/>
        <v>1</v>
      </c>
      <c r="F136" s="56">
        <f t="shared" si="12"/>
        <v>1</v>
      </c>
      <c r="G136" s="56">
        <f t="shared" si="13"/>
        <v>2</v>
      </c>
      <c r="H136" s="56">
        <f t="shared" si="14"/>
        <v>3</v>
      </c>
      <c r="I136" s="56">
        <f t="shared" si="15"/>
        <v>-1</v>
      </c>
      <c r="J136" s="56">
        <f t="shared" si="16"/>
        <v>4</v>
      </c>
      <c r="K136" s="56">
        <f t="shared" si="17"/>
        <v>3999002</v>
      </c>
      <c r="L136" s="61">
        <f>1+SUMPRODUCT(--($A$135:$A$138=$A136),--($K$135:$K$138&gt;K136))+SUMPRODUCT(--($A$135:$A$138=$A136),--($K$135:$K$138=K136),--(ROW($B$135:$B$138)&lt;ROW(B136)))</f>
        <v>2</v>
      </c>
      <c r="M136" s="61" t="str" cm="1">
        <f t="array" ref="M136">IF(L136=3,1+SUMPRODUCT(--($L$135:$L$182=3),--($K$135:$K$182&gt;K136))+SUMPRODUCT(--($L$135:$L$182=3),--($K$135:$K$182=K136),--(((($B$135:$B$182="Ghana")*(-3)+($B$135:$B$182="Ecuador")*(-5)))&gt;IF($B136="Ghana",-3,IF($B136="Ecuador",-5,0))))+SUMPRODUCT(--($L$135:$L$182=3),--($K$135:$K$182=K136),--(((($B$135:$B$182="Ghana")*(-3)+($B$135:$B$182="Ecuador")*(-5)))=IF($B136="Ghana",-3,IF($B136="Ecuador",-5,0))),--(ROW($B$135:$B$182)&lt;ROW(B136))),"")</f>
        <v/>
      </c>
      <c r="N136" s="61" t="str">
        <f t="shared" si="18"/>
        <v>Yes</v>
      </c>
    </row>
    <row r="137" spans="1:14" ht="15" customHeight="1">
      <c r="A137" s="59" t="s">
        <v>154</v>
      </c>
      <c r="B137" s="60" t="s">
        <v>160</v>
      </c>
      <c r="C137" s="56">
        <f t="shared" si="9"/>
        <v>3</v>
      </c>
      <c r="D137" s="56">
        <f t="shared" si="10"/>
        <v>1</v>
      </c>
      <c r="E137" s="56">
        <f t="shared" si="11"/>
        <v>0</v>
      </c>
      <c r="F137" s="56">
        <f t="shared" si="12"/>
        <v>2</v>
      </c>
      <c r="G137" s="56">
        <f t="shared" si="13"/>
        <v>2</v>
      </c>
      <c r="H137" s="56">
        <f t="shared" si="14"/>
        <v>3</v>
      </c>
      <c r="I137" s="56">
        <f t="shared" si="15"/>
        <v>-1</v>
      </c>
      <c r="J137" s="56">
        <f t="shared" si="16"/>
        <v>3</v>
      </c>
      <c r="K137" s="56">
        <f t="shared" si="17"/>
        <v>2999002</v>
      </c>
      <c r="L137" s="61">
        <f>1+SUMPRODUCT(--($A$135:$A$138=$A137),--($K$135:$K$138&gt;K137))+SUMPRODUCT(--($A$135:$A$138=$A137),--($K$135:$K$138=K137),--(ROW($B$135:$B$138)&lt;ROW(B137)))</f>
        <v>3</v>
      </c>
      <c r="M137" s="61" cm="1">
        <f t="array" ref="M137">IF(L137=3,1+SUMPRODUCT(--($L$135:$L$182=3),--($K$135:$K$182&gt;K137))+SUMPRODUCT(--($L$135:$L$182=3),--($K$135:$K$182=K137),--(((($B$135:$B$182="Ghana")*(-3)+($B$135:$B$182="Ecuador")*(-5)))&gt;IF($B137="Ghana",-3,IF($B137="Ecuador",-5,0))))+SUMPRODUCT(--($L$135:$L$182=3),--($K$135:$K$182=K137),--(((($B$135:$B$182="Ghana")*(-3)+($B$135:$B$182="Ecuador")*(-5)))=IF($B137="Ghana",-3,IF($B137="Ecuador",-5,0))),--(ROW($B$135:$B$182)&lt;ROW(B137))),"")</f>
        <v>10</v>
      </c>
      <c r="N137" s="61" t="str">
        <f t="shared" si="18"/>
        <v>No</v>
      </c>
    </row>
    <row r="138" spans="1:14" ht="15" customHeight="1">
      <c r="A138" s="59" t="s">
        <v>154</v>
      </c>
      <c r="B138" s="60" t="s">
        <v>161</v>
      </c>
      <c r="C138" s="56">
        <f t="shared" si="9"/>
        <v>3</v>
      </c>
      <c r="D138" s="56">
        <f t="shared" si="10"/>
        <v>0</v>
      </c>
      <c r="E138" s="56">
        <f t="shared" si="11"/>
        <v>1</v>
      </c>
      <c r="F138" s="56">
        <f t="shared" si="12"/>
        <v>2</v>
      </c>
      <c r="G138" s="56">
        <f t="shared" si="13"/>
        <v>2</v>
      </c>
      <c r="H138" s="56">
        <f t="shared" si="14"/>
        <v>6</v>
      </c>
      <c r="I138" s="56">
        <f t="shared" si="15"/>
        <v>-4</v>
      </c>
      <c r="J138" s="56">
        <f t="shared" si="16"/>
        <v>1</v>
      </c>
      <c r="K138" s="56">
        <f t="shared" si="17"/>
        <v>996002</v>
      </c>
      <c r="L138" s="61">
        <f>1+SUMPRODUCT(--($A$135:$A$138=$A138),--($K$135:$K$138&gt;K138))+SUMPRODUCT(--($A$135:$A$138=$A138),--($K$135:$K$138=K138),--(ROW($B$135:$B$138)&lt;ROW(B138)))</f>
        <v>4</v>
      </c>
      <c r="M138" s="61" t="str" cm="1">
        <f t="array" ref="M138">IF(L138=3,1+SUMPRODUCT(--($L$135:$L$182=3),--($K$135:$K$182&gt;K138))+SUMPRODUCT(--($L$135:$L$182=3),--($K$135:$K$182=K138),--(((($B$135:$B$182="Ghana")*(-3)+($B$135:$B$182="Ecuador")*(-5)))&gt;IF($B138="Ghana",-3,IF($B138="Ecuador",-5,0))))+SUMPRODUCT(--($L$135:$L$182=3),--($K$135:$K$182=K138),--(((($B$135:$B$182="Ghana")*(-3)+($B$135:$B$182="Ecuador")*(-5)))=IF($B138="Ghana",-3,IF($B138="Ecuador",-5,0))),--(ROW($B$135:$B$182)&lt;ROW(B138))),"")</f>
        <v/>
      </c>
      <c r="N138" s="61" t="str">
        <f t="shared" si="18"/>
        <v>No</v>
      </c>
    </row>
    <row r="139" spans="1:14" ht="15" customHeight="1">
      <c r="A139" s="59" t="s">
        <v>168</v>
      </c>
      <c r="B139" s="60" t="s">
        <v>169</v>
      </c>
      <c r="C139" s="56">
        <f t="shared" si="9"/>
        <v>3</v>
      </c>
      <c r="D139" s="56">
        <f t="shared" si="10"/>
        <v>1</v>
      </c>
      <c r="E139" s="56">
        <f t="shared" si="11"/>
        <v>1</v>
      </c>
      <c r="F139" s="56">
        <f t="shared" si="12"/>
        <v>1</v>
      </c>
      <c r="G139" s="56">
        <f t="shared" si="13"/>
        <v>8</v>
      </c>
      <c r="H139" s="56">
        <f t="shared" si="14"/>
        <v>3</v>
      </c>
      <c r="I139" s="56">
        <f t="shared" si="15"/>
        <v>5</v>
      </c>
      <c r="J139" s="56">
        <f t="shared" si="16"/>
        <v>4</v>
      </c>
      <c r="K139" s="56">
        <f t="shared" si="17"/>
        <v>4005008</v>
      </c>
      <c r="L139" s="56">
        <f>1+SUMPRODUCT(--($A$139:$A$142=$A139),--($K$139:$K$142&gt;K139))+SUMPRODUCT(--($A$139:$A$142=$A139),--($K$139:$K$142=K139),--(ROW($B$139:$B$142)&lt;ROW(B139)))</f>
        <v>2</v>
      </c>
      <c r="M139" s="56" t="str" cm="1">
        <f t="array" ref="M139">IF(L139=3,1+SUMPRODUCT(--($L$135:$L$182=3),--($K$135:$K$182&gt;K139))+SUMPRODUCT(--($L$135:$L$182=3),--($K$135:$K$182=K139),--(((($B$135:$B$182="Ghana")*(-3)+($B$135:$B$182="Ecuador")*(-5)))&gt;IF($B139="Ghana",-3,IF($B139="Ecuador",-5,0))))+SUMPRODUCT(--($L$135:$L$182=3),--($K$135:$K$182=K139),--(((($B$135:$B$182="Ghana")*(-3)+($B$135:$B$182="Ecuador")*(-5)))=IF($B139="Ghana",-3,IF($B139="Ecuador",-5,0))),--(ROW($B$135:$B$182)&lt;ROW(B139))),"")</f>
        <v/>
      </c>
      <c r="N139" s="56" t="str">
        <f t="shared" si="18"/>
        <v>Yes</v>
      </c>
    </row>
    <row r="140" spans="1:14" ht="15" customHeight="1">
      <c r="A140" s="59" t="s">
        <v>168</v>
      </c>
      <c r="B140" s="60" t="s">
        <v>170</v>
      </c>
      <c r="C140" s="56">
        <f t="shared" si="9"/>
        <v>3</v>
      </c>
      <c r="D140" s="56">
        <f t="shared" si="10"/>
        <v>1</v>
      </c>
      <c r="E140" s="56">
        <f t="shared" si="11"/>
        <v>1</v>
      </c>
      <c r="F140" s="56">
        <f t="shared" si="12"/>
        <v>1</v>
      </c>
      <c r="G140" s="56">
        <f t="shared" si="13"/>
        <v>5</v>
      </c>
      <c r="H140" s="56">
        <f t="shared" si="14"/>
        <v>6</v>
      </c>
      <c r="I140" s="56">
        <f t="shared" si="15"/>
        <v>-1</v>
      </c>
      <c r="J140" s="56">
        <f t="shared" si="16"/>
        <v>4</v>
      </c>
      <c r="K140" s="56">
        <f t="shared" si="17"/>
        <v>3999005</v>
      </c>
      <c r="L140" s="61">
        <f>1+SUMPRODUCT(--($A$139:$A$142=$A140),--($K$139:$K$142&gt;K140))+SUMPRODUCT(--($A$139:$A$142=$A140),--($K$139:$K$142=K140),--(ROW($B$139:$B$142)&lt;ROW(B140)))</f>
        <v>3</v>
      </c>
      <c r="M140" s="61" cm="1">
        <f t="array" ref="M140">IF(L140=3,1+SUMPRODUCT(--($L$135:$L$182=3),--($K$135:$K$182&gt;K140))+SUMPRODUCT(--($L$135:$L$182=3),--($K$135:$K$182=K140),--(((($B$135:$B$182="Ghana")*(-3)+($B$135:$B$182="Ecuador")*(-5)))&gt;IF($B140="Ghana",-3,IF($B140="Ecuador",-5,0))))+SUMPRODUCT(--($L$135:$L$182=3),--($K$135:$K$182=K140),--(((($B$135:$B$182="Ghana")*(-3)+($B$135:$B$182="Ecuador")*(-5)))=IF($B140="Ghana",-3,IF($B140="Ecuador",-5,0))),--(ROW($B$135:$B$182)&lt;ROW(B140))),"")</f>
        <v>5</v>
      </c>
      <c r="N140" s="61" t="str">
        <f t="shared" si="18"/>
        <v>Yes</v>
      </c>
    </row>
    <row r="141" spans="1:14" ht="15" customHeight="1">
      <c r="A141" s="59" t="s">
        <v>168</v>
      </c>
      <c r="B141" s="60" t="s">
        <v>171</v>
      </c>
      <c r="C141" s="56">
        <f t="shared" si="9"/>
        <v>3</v>
      </c>
      <c r="D141" s="56">
        <f t="shared" si="10"/>
        <v>0</v>
      </c>
      <c r="E141" s="56">
        <f t="shared" si="11"/>
        <v>1</v>
      </c>
      <c r="F141" s="56">
        <f t="shared" si="12"/>
        <v>2</v>
      </c>
      <c r="G141" s="56">
        <f t="shared" si="13"/>
        <v>2</v>
      </c>
      <c r="H141" s="56">
        <f t="shared" si="14"/>
        <v>10</v>
      </c>
      <c r="I141" s="56">
        <f t="shared" si="15"/>
        <v>-8</v>
      </c>
      <c r="J141" s="56">
        <f t="shared" si="16"/>
        <v>1</v>
      </c>
      <c r="K141" s="56">
        <f t="shared" si="17"/>
        <v>992002</v>
      </c>
      <c r="L141" s="61">
        <f>1+SUMPRODUCT(--($A$139:$A$142=$A141),--($K$139:$K$142&gt;K141))+SUMPRODUCT(--($A$139:$A$142=$A141),--($K$139:$K$142=K141),--(ROW($B$139:$B$142)&lt;ROW(B141)))</f>
        <v>4</v>
      </c>
      <c r="M141" s="61" t="str" cm="1">
        <f t="array" ref="M141">IF(L141=3,1+SUMPRODUCT(--($L$135:$L$182=3),--($K$135:$K$182&gt;K141))+SUMPRODUCT(--($L$135:$L$182=3),--($K$135:$K$182=K141),--(((($B$135:$B$182="Ghana")*(-3)+($B$135:$B$182="Ecuador")*(-5)))&gt;IF($B141="Ghana",-3,IF($B141="Ecuador",-5,0))))+SUMPRODUCT(--($L$135:$L$182=3),--($K$135:$K$182=K141),--(((($B$135:$B$182="Ghana")*(-3)+($B$135:$B$182="Ecuador")*(-5)))=IF($B141="Ghana",-3,IF($B141="Ecuador",-5,0))),--(ROW($B$135:$B$182)&lt;ROW(B141))),"")</f>
        <v/>
      </c>
      <c r="N141" s="61" t="str">
        <f t="shared" si="18"/>
        <v>No</v>
      </c>
    </row>
    <row r="142" spans="1:14" ht="15" customHeight="1">
      <c r="A142" s="59" t="s">
        <v>168</v>
      </c>
      <c r="B142" s="60" t="s">
        <v>172</v>
      </c>
      <c r="C142" s="56">
        <f t="shared" si="9"/>
        <v>3</v>
      </c>
      <c r="D142" s="56">
        <f t="shared" si="10"/>
        <v>2</v>
      </c>
      <c r="E142" s="56">
        <f t="shared" si="11"/>
        <v>1</v>
      </c>
      <c r="F142" s="56">
        <f t="shared" si="12"/>
        <v>0</v>
      </c>
      <c r="G142" s="56">
        <f t="shared" si="13"/>
        <v>7</v>
      </c>
      <c r="H142" s="56">
        <f t="shared" si="14"/>
        <v>3</v>
      </c>
      <c r="I142" s="56">
        <f t="shared" si="15"/>
        <v>4</v>
      </c>
      <c r="J142" s="56">
        <f t="shared" si="16"/>
        <v>7</v>
      </c>
      <c r="K142" s="56">
        <f t="shared" si="17"/>
        <v>7004007</v>
      </c>
      <c r="L142" s="61">
        <f>1+SUMPRODUCT(--($A$139:$A$142=$A142),--($K$139:$K$142&gt;K142))+SUMPRODUCT(--($A$139:$A$142=$A142),--($K$139:$K$142=K142),--(ROW($B$139:$B$142)&lt;ROW(B142)))</f>
        <v>1</v>
      </c>
      <c r="M142" s="61" t="str" cm="1">
        <f t="array" ref="M142">IF(L142=3,1+SUMPRODUCT(--($L$135:$L$182=3),--($K$135:$K$182&gt;K142))+SUMPRODUCT(--($L$135:$L$182=3),--($K$135:$K$182=K142),--(((($B$135:$B$182="Ghana")*(-3)+($B$135:$B$182="Ecuador")*(-5)))&gt;IF($B142="Ghana",-3,IF($B142="Ecuador",-5,0))))+SUMPRODUCT(--($L$135:$L$182=3),--($K$135:$K$182=K142),--(((($B$135:$B$182="Ghana")*(-3)+($B$135:$B$182="Ecuador")*(-5)))=IF($B142="Ghana",-3,IF($B142="Ecuador",-5,0))),--(ROW($B$135:$B$182)&lt;ROW(B142))),"")</f>
        <v/>
      </c>
      <c r="N142" s="61" t="str">
        <f t="shared" si="18"/>
        <v>Yes</v>
      </c>
    </row>
    <row r="143" spans="1:14" ht="15" customHeight="1">
      <c r="A143" s="59" t="s">
        <v>173</v>
      </c>
      <c r="B143" s="60" t="s">
        <v>174</v>
      </c>
      <c r="C143" s="56">
        <f t="shared" si="9"/>
        <v>3</v>
      </c>
      <c r="D143" s="56">
        <f t="shared" si="10"/>
        <v>2</v>
      </c>
      <c r="E143" s="56">
        <f t="shared" si="11"/>
        <v>1</v>
      </c>
      <c r="F143" s="56">
        <f t="shared" si="12"/>
        <v>0</v>
      </c>
      <c r="G143" s="56">
        <f t="shared" si="13"/>
        <v>7</v>
      </c>
      <c r="H143" s="56">
        <f t="shared" si="14"/>
        <v>1</v>
      </c>
      <c r="I143" s="56">
        <f t="shared" si="15"/>
        <v>6</v>
      </c>
      <c r="J143" s="56">
        <f t="shared" si="16"/>
        <v>7</v>
      </c>
      <c r="K143" s="56">
        <f t="shared" si="17"/>
        <v>7006007</v>
      </c>
      <c r="L143" s="56">
        <f>1+SUMPRODUCT(--($A$143:$A$146=$A143),--($K$143:$K$146&gt;K143))+SUMPRODUCT(--($A$143:$A$146=$A143),--($K$143:$K$146=K143),--(ROW($B$143:$B$146)&lt;ROW(B143)))</f>
        <v>1</v>
      </c>
      <c r="M143" s="56" t="str" cm="1">
        <f t="array" ref="M143">IF(L143=3,1+SUMPRODUCT(--($L$135:$L$182=3),--($K$135:$K$182&gt;K143))+SUMPRODUCT(--($L$135:$L$182=3),--($K$135:$K$182=K143),--(((($B$135:$B$182="Ghana")*(-3)+($B$135:$B$182="Ecuador")*(-5)))&gt;IF($B143="Ghana",-3,IF($B143="Ecuador",-5,0))))+SUMPRODUCT(--($L$135:$L$182=3),--($K$135:$K$182=K143),--(((($B$135:$B$182="Ghana")*(-3)+($B$135:$B$182="Ecuador")*(-5)))=IF($B143="Ghana",-3,IF($B143="Ecuador",-5,0))),--(ROW($B$135:$B$182)&lt;ROW(B143))),"")</f>
        <v/>
      </c>
      <c r="N143" s="56" t="str">
        <f t="shared" si="18"/>
        <v>Yes</v>
      </c>
    </row>
    <row r="144" spans="1:14" ht="15" customHeight="1">
      <c r="A144" s="59" t="s">
        <v>173</v>
      </c>
      <c r="B144" s="60" t="s">
        <v>175</v>
      </c>
      <c r="C144" s="56">
        <f t="shared" si="9"/>
        <v>3</v>
      </c>
      <c r="D144" s="56">
        <f t="shared" si="10"/>
        <v>0</v>
      </c>
      <c r="E144" s="56">
        <f t="shared" si="11"/>
        <v>0</v>
      </c>
      <c r="F144" s="56">
        <f t="shared" si="12"/>
        <v>3</v>
      </c>
      <c r="G144" s="56">
        <f t="shared" si="13"/>
        <v>2</v>
      </c>
      <c r="H144" s="56">
        <f t="shared" si="14"/>
        <v>8</v>
      </c>
      <c r="I144" s="56">
        <f t="shared" si="15"/>
        <v>-6</v>
      </c>
      <c r="J144" s="56">
        <f t="shared" si="16"/>
        <v>0</v>
      </c>
      <c r="K144" s="56">
        <f t="shared" si="17"/>
        <v>-5998</v>
      </c>
      <c r="L144" s="61">
        <f>1+SUMPRODUCT(--($A$143:$A$146=$A144),--($K$143:$K$146&gt;K144))+SUMPRODUCT(--($A$143:$A$146=$A144),--($K$143:$K$146=K144),--(ROW($B$143:$B$146)&lt;ROW(B144)))</f>
        <v>4</v>
      </c>
      <c r="M144" s="61" t="str" cm="1">
        <f t="array" ref="M144">IF(L144=3,1+SUMPRODUCT(--($L$135:$L$182=3),--($K$135:$K$182&gt;K144))+SUMPRODUCT(--($L$135:$L$182=3),--($K$135:$K$182=K144),--(((($B$135:$B$182="Ghana")*(-3)+($B$135:$B$182="Ecuador")*(-5)))&gt;IF($B144="Ghana",-3,IF($B144="Ecuador",-5,0))))+SUMPRODUCT(--($L$135:$L$182=3),--($K$135:$K$182=K144),--(((($B$135:$B$182="Ghana")*(-3)+($B$135:$B$182="Ecuador")*(-5)))=IF($B144="Ghana",-3,IF($B144="Ecuador",-5,0))),--(ROW($B$135:$B$182)&lt;ROW(B144))),"")</f>
        <v/>
      </c>
      <c r="N144" s="61" t="str">
        <f t="shared" si="18"/>
        <v>No</v>
      </c>
    </row>
    <row r="145" spans="1:14" ht="15" customHeight="1">
      <c r="A145" s="59" t="s">
        <v>173</v>
      </c>
      <c r="B145" s="60" t="s">
        <v>176</v>
      </c>
      <c r="C145" s="56">
        <f t="shared" si="9"/>
        <v>3</v>
      </c>
      <c r="D145" s="56">
        <f t="shared" si="10"/>
        <v>2</v>
      </c>
      <c r="E145" s="56">
        <f t="shared" si="11"/>
        <v>1</v>
      </c>
      <c r="F145" s="56">
        <f t="shared" si="12"/>
        <v>0</v>
      </c>
      <c r="G145" s="56">
        <f t="shared" si="13"/>
        <v>6</v>
      </c>
      <c r="H145" s="56">
        <f t="shared" si="14"/>
        <v>3</v>
      </c>
      <c r="I145" s="56">
        <f t="shared" si="15"/>
        <v>3</v>
      </c>
      <c r="J145" s="56">
        <f t="shared" si="16"/>
        <v>7</v>
      </c>
      <c r="K145" s="56">
        <f t="shared" si="17"/>
        <v>7003006</v>
      </c>
      <c r="L145" s="61">
        <f>1+SUMPRODUCT(--($A$143:$A$146=$A145),--($K$143:$K$146&gt;K145))+SUMPRODUCT(--($A$143:$A$146=$A145),--($K$143:$K$146=K145),--(ROW($B$143:$B$146)&lt;ROW(B145)))</f>
        <v>2</v>
      </c>
      <c r="M145" s="61" t="str" cm="1">
        <f t="array" ref="M145">IF(L145=3,1+SUMPRODUCT(--($L$135:$L$182=3),--($K$135:$K$182&gt;K145))+SUMPRODUCT(--($L$135:$L$182=3),--($K$135:$K$182=K145),--(((($B$135:$B$182="Ghana")*(-3)+($B$135:$B$182="Ecuador")*(-5)))&gt;IF($B145="Ghana",-3,IF($B145="Ecuador",-5,0))))+SUMPRODUCT(--($L$135:$L$182=3),--($K$135:$K$182=K145),--(((($B$135:$B$182="Ghana")*(-3)+($B$135:$B$182="Ecuador")*(-5)))=IF($B145="Ghana",-3,IF($B145="Ecuador",-5,0))),--(ROW($B$135:$B$182)&lt;ROW(B145))),"")</f>
        <v/>
      </c>
      <c r="N145" s="61" t="str">
        <f t="shared" si="18"/>
        <v>Yes</v>
      </c>
    </row>
    <row r="146" spans="1:14" ht="15" customHeight="1">
      <c r="A146" s="59" t="s">
        <v>173</v>
      </c>
      <c r="B146" s="60" t="s">
        <v>177</v>
      </c>
      <c r="C146" s="56">
        <f t="shared" si="9"/>
        <v>3</v>
      </c>
      <c r="D146" s="56">
        <f t="shared" si="10"/>
        <v>1</v>
      </c>
      <c r="E146" s="56">
        <f t="shared" si="11"/>
        <v>0</v>
      </c>
      <c r="F146" s="56">
        <f t="shared" si="12"/>
        <v>2</v>
      </c>
      <c r="G146" s="56">
        <f t="shared" si="13"/>
        <v>1</v>
      </c>
      <c r="H146" s="56">
        <f t="shared" si="14"/>
        <v>4</v>
      </c>
      <c r="I146" s="56">
        <f t="shared" si="15"/>
        <v>-3</v>
      </c>
      <c r="J146" s="56">
        <f t="shared" si="16"/>
        <v>3</v>
      </c>
      <c r="K146" s="56">
        <f t="shared" si="17"/>
        <v>2997001</v>
      </c>
      <c r="L146" s="61">
        <f>1+SUMPRODUCT(--($A$143:$A$146=$A146),--($K$143:$K$146&gt;K146))+SUMPRODUCT(--($A$143:$A$146=$A146),--($K$143:$K$146=K146),--(ROW($B$143:$B$146)&lt;ROW(B146)))</f>
        <v>3</v>
      </c>
      <c r="M146" s="61" cm="1">
        <f t="array" ref="M146">IF(L146=3,1+SUMPRODUCT(--($L$135:$L$182=3),--($K$135:$K$182&gt;K146))+SUMPRODUCT(--($L$135:$L$182=3),--($K$135:$K$182=K146),--(((($B$135:$B$182="Ghana")*(-3)+($B$135:$B$182="Ecuador")*(-5)))&gt;IF($B146="Ghana",-3,IF($B146="Ecuador",-5,0))))+SUMPRODUCT(--($L$135:$L$182=3),--($K$135:$K$182=K146),--(((($B$135:$B$182="Ghana")*(-3)+($B$135:$B$182="Ecuador")*(-5)))=IF($B146="Ghana",-3,IF($B146="Ecuador",-5,0))),--(ROW($B$135:$B$182)&lt;ROW(B146))),"")</f>
        <v>11</v>
      </c>
      <c r="N146" s="61" t="str">
        <f t="shared" si="18"/>
        <v>No</v>
      </c>
    </row>
    <row r="147" spans="1:14" ht="15" customHeight="1">
      <c r="A147" s="59" t="s">
        <v>178</v>
      </c>
      <c r="B147" s="60" t="s">
        <v>179</v>
      </c>
      <c r="C147" s="56">
        <f t="shared" si="9"/>
        <v>3</v>
      </c>
      <c r="D147" s="56">
        <f t="shared" si="10"/>
        <v>2</v>
      </c>
      <c r="E147" s="56">
        <f t="shared" si="11"/>
        <v>0</v>
      </c>
      <c r="F147" s="56">
        <f t="shared" si="12"/>
        <v>1</v>
      </c>
      <c r="G147" s="56">
        <f t="shared" si="13"/>
        <v>8</v>
      </c>
      <c r="H147" s="56">
        <f t="shared" si="14"/>
        <v>4</v>
      </c>
      <c r="I147" s="56">
        <f t="shared" si="15"/>
        <v>4</v>
      </c>
      <c r="J147" s="56">
        <f t="shared" si="16"/>
        <v>6</v>
      </c>
      <c r="K147" s="56">
        <f t="shared" si="17"/>
        <v>6004008</v>
      </c>
      <c r="L147" s="56">
        <f>1+SUMPRODUCT(--($A$147:$A$150=$A147),--($K$147:$K$150&gt;K147))+SUMPRODUCT(--($A$147:$A$150=$A147),--($K$147:$K$150=K147),--(ROW($B$147:$B$150)&lt;ROW(B147)))</f>
        <v>1</v>
      </c>
      <c r="M147" s="56" t="str" cm="1">
        <f t="array" ref="M147">IF(L147=3,1+SUMPRODUCT(--($L$135:$L$182=3),--($K$135:$K$182&gt;K147))+SUMPRODUCT(--($L$135:$L$182=3),--($K$135:$K$182=K147),--(((($B$135:$B$182="Ghana")*(-3)+($B$135:$B$182="Ecuador")*(-5)))&gt;IF($B147="Ghana",-3,IF($B147="Ecuador",-5,0))))+SUMPRODUCT(--($L$135:$L$182=3),--($K$135:$K$182=K147),--(((($B$135:$B$182="Ghana")*(-3)+($B$135:$B$182="Ecuador")*(-5)))=IF($B147="Ghana",-3,IF($B147="Ecuador",-5,0))),--(ROW($B$135:$B$182)&lt;ROW(B147))),"")</f>
        <v/>
      </c>
      <c r="N147" s="56" t="str">
        <f t="shared" si="18"/>
        <v>Yes</v>
      </c>
    </row>
    <row r="148" spans="1:14" ht="15" customHeight="1">
      <c r="A148" s="59" t="s">
        <v>178</v>
      </c>
      <c r="B148" s="60" t="s">
        <v>180</v>
      </c>
      <c r="C148" s="56">
        <f t="shared" si="9"/>
        <v>3</v>
      </c>
      <c r="D148" s="56">
        <f t="shared" si="10"/>
        <v>1</v>
      </c>
      <c r="E148" s="56">
        <f t="shared" si="11"/>
        <v>1</v>
      </c>
      <c r="F148" s="56">
        <f t="shared" si="12"/>
        <v>1</v>
      </c>
      <c r="G148" s="56">
        <f t="shared" si="13"/>
        <v>2</v>
      </c>
      <c r="H148" s="56">
        <f t="shared" si="14"/>
        <v>2</v>
      </c>
      <c r="I148" s="56">
        <f t="shared" si="15"/>
        <v>0</v>
      </c>
      <c r="J148" s="56">
        <f t="shared" si="16"/>
        <v>4</v>
      </c>
      <c r="K148" s="56">
        <f t="shared" si="17"/>
        <v>4000002</v>
      </c>
      <c r="L148" s="61">
        <f>1+SUMPRODUCT(--($A$147:$A$150=$A148),--($K$147:$K$150&gt;K148))+SUMPRODUCT(--($A$147:$A$150=$A148),--($K$147:$K$150=K148),--(ROW($B$147:$B$150)&lt;ROW(B148)))</f>
        <v>2</v>
      </c>
      <c r="M148" s="61" t="str" cm="1">
        <f t="array" ref="M148">IF(L148=3,1+SUMPRODUCT(--($L$135:$L$182=3),--($K$135:$K$182&gt;K148))+SUMPRODUCT(--($L$135:$L$182=3),--($K$135:$K$182=K148),--(((($B$135:$B$182="Ghana")*(-3)+($B$135:$B$182="Ecuador")*(-5)))&gt;IF($B148="Ghana",-3,IF($B148="Ecuador",-5,0))))+SUMPRODUCT(--($L$135:$L$182=3),--($K$135:$K$182=K148),--(((($B$135:$B$182="Ghana")*(-3)+($B$135:$B$182="Ecuador")*(-5)))=IF($B148="Ghana",-3,IF($B148="Ecuador",-5,0))),--(ROW($B$135:$B$182)&lt;ROW(B148))),"")</f>
        <v/>
      </c>
      <c r="N148" s="61" t="str">
        <f t="shared" si="18"/>
        <v>Yes</v>
      </c>
    </row>
    <row r="149" spans="1:14" ht="15" customHeight="1">
      <c r="A149" s="59" t="s">
        <v>178</v>
      </c>
      <c r="B149" s="60" t="s">
        <v>181</v>
      </c>
      <c r="C149" s="56">
        <f t="shared" si="9"/>
        <v>3</v>
      </c>
      <c r="D149" s="56">
        <f t="shared" si="10"/>
        <v>1</v>
      </c>
      <c r="E149" s="56">
        <f t="shared" si="11"/>
        <v>1</v>
      </c>
      <c r="F149" s="56">
        <f t="shared" si="12"/>
        <v>1</v>
      </c>
      <c r="G149" s="56">
        <f t="shared" si="13"/>
        <v>2</v>
      </c>
      <c r="H149" s="56">
        <f t="shared" si="14"/>
        <v>4</v>
      </c>
      <c r="I149" s="56">
        <f t="shared" si="15"/>
        <v>-2</v>
      </c>
      <c r="J149" s="56">
        <f t="shared" si="16"/>
        <v>4</v>
      </c>
      <c r="K149" s="56">
        <f t="shared" si="17"/>
        <v>3998002</v>
      </c>
      <c r="L149" s="61">
        <f>1+SUMPRODUCT(--($A$147:$A$150=$A149),--($K$147:$K$150&gt;K149))+SUMPRODUCT(--($A$147:$A$150=$A149),--($K$147:$K$150=K149),--(ROW($B$147:$B$150)&lt;ROW(B149)))</f>
        <v>3</v>
      </c>
      <c r="M149" s="61" cm="1">
        <f t="array" ref="M149">IF(L149=3,1+SUMPRODUCT(--($L$135:$L$182=3),--($K$135:$K$182&gt;K149))+SUMPRODUCT(--($L$135:$L$182=3),--($K$135:$K$182=K149),--(((($B$135:$B$182="Ghana")*(-3)+($B$135:$B$182="Ecuador")*(-5)))&gt;IF($B149="Ghana",-3,IF($B149="Ecuador",-5,0))))+SUMPRODUCT(--($L$135:$L$182=3),--($K$135:$K$182=K149),--(((($B$135:$B$182="Ghana")*(-3)+($B$135:$B$182="Ecuador")*(-5)))=IF($B149="Ghana",-3,IF($B149="Ecuador",-5,0))),--(ROW($B$135:$B$182)&lt;ROW(B149))),"")</f>
        <v>7</v>
      </c>
      <c r="N149" s="61" t="str">
        <f t="shared" si="18"/>
        <v>Yes</v>
      </c>
    </row>
    <row r="150" spans="1:14" ht="15" customHeight="1">
      <c r="A150" s="59" t="s">
        <v>178</v>
      </c>
      <c r="B150" s="60" t="s">
        <v>182</v>
      </c>
      <c r="C150" s="56">
        <f t="shared" si="9"/>
        <v>3</v>
      </c>
      <c r="D150" s="56">
        <f t="shared" si="10"/>
        <v>1</v>
      </c>
      <c r="E150" s="56">
        <f t="shared" si="11"/>
        <v>0</v>
      </c>
      <c r="F150" s="56">
        <f t="shared" si="12"/>
        <v>2</v>
      </c>
      <c r="G150" s="56">
        <f t="shared" si="13"/>
        <v>3</v>
      </c>
      <c r="H150" s="56">
        <f t="shared" si="14"/>
        <v>5</v>
      </c>
      <c r="I150" s="56">
        <f t="shared" si="15"/>
        <v>-2</v>
      </c>
      <c r="J150" s="56">
        <f t="shared" si="16"/>
        <v>3</v>
      </c>
      <c r="K150" s="56">
        <f t="shared" si="17"/>
        <v>2998003</v>
      </c>
      <c r="L150" s="61">
        <f>1+SUMPRODUCT(--($A$147:$A$150=$A150),--($K$147:$K$150&gt;K150))+SUMPRODUCT(--($A$147:$A$150=$A150),--($K$147:$K$150=K150),--(ROW($B$147:$B$150)&lt;ROW(B150)))</f>
        <v>4</v>
      </c>
      <c r="M150" s="61" t="str" cm="1">
        <f t="array" ref="M150">IF(L150=3,1+SUMPRODUCT(--($L$135:$L$182=3),--($K$135:$K$182&gt;K150))+SUMPRODUCT(--($L$135:$L$182=3),--($K$135:$K$182=K150),--(((($B$135:$B$182="Ghana")*(-3)+($B$135:$B$182="Ecuador")*(-5)))&gt;IF($B150="Ghana",-3,IF($B150="Ecuador",-5,0))))+SUMPRODUCT(--($L$135:$L$182=3),--($K$135:$K$182=K150),--(((($B$135:$B$182="Ghana")*(-3)+($B$135:$B$182="Ecuador")*(-5)))=IF($B150="Ghana",-3,IF($B150="Ecuador",-5,0))),--(ROW($B$135:$B$182)&lt;ROW(B150))),"")</f>
        <v/>
      </c>
      <c r="N150" s="61" t="str">
        <f t="shared" si="18"/>
        <v>No</v>
      </c>
    </row>
    <row r="151" spans="1:14" ht="15" customHeight="1">
      <c r="A151" s="59" t="s">
        <v>183</v>
      </c>
      <c r="B151" s="60" t="s">
        <v>184</v>
      </c>
      <c r="C151" s="56">
        <f t="shared" si="9"/>
        <v>3</v>
      </c>
      <c r="D151" s="56">
        <f t="shared" si="10"/>
        <v>2</v>
      </c>
      <c r="E151" s="56">
        <f t="shared" si="11"/>
        <v>0</v>
      </c>
      <c r="F151" s="56">
        <f t="shared" si="12"/>
        <v>1</v>
      </c>
      <c r="G151" s="56">
        <f t="shared" si="13"/>
        <v>10</v>
      </c>
      <c r="H151" s="56">
        <f t="shared" si="14"/>
        <v>4</v>
      </c>
      <c r="I151" s="56">
        <f t="shared" si="15"/>
        <v>6</v>
      </c>
      <c r="J151" s="56">
        <f t="shared" si="16"/>
        <v>6</v>
      </c>
      <c r="K151" s="56">
        <f t="shared" si="17"/>
        <v>6006010</v>
      </c>
      <c r="L151" s="56">
        <f>1+SUMPRODUCT(--($A$151:$A$154=$A151),--($K$151:$K$154&gt;K151))+SUMPRODUCT(--($A$151:$A$154=$A151),--($K$151:$K$154=K151),--(ROW($B$151:$B$154)&lt;ROW(B151)))</f>
        <v>1</v>
      </c>
      <c r="M151" s="56" t="str" cm="1">
        <f t="array" ref="M151">IF(L151=3,1+SUMPRODUCT(--($L$135:$L$182=3),--($K$135:$K$182&gt;K151))+SUMPRODUCT(--($L$135:$L$182=3),--($K$135:$K$182=K151),--(((($B$135:$B$182="Ghana")*(-3)+($B$135:$B$182="Ecuador")*(-5)))&gt;IF($B151="Ghana",-3,IF($B151="Ecuador",-5,0))))+SUMPRODUCT(--($L$135:$L$182=3),--($K$135:$K$182=K151),--(((($B$135:$B$182="Ghana")*(-3)+($B$135:$B$182="Ecuador")*(-5)))=IF($B151="Ghana",-3,IF($B151="Ecuador",-5,0))),--(ROW($B$135:$B$182)&lt;ROW(B151))),"")</f>
        <v/>
      </c>
      <c r="N151" s="56" t="str">
        <f t="shared" si="18"/>
        <v>Yes</v>
      </c>
    </row>
    <row r="152" spans="1:14" ht="15" customHeight="1">
      <c r="A152" s="59" t="s">
        <v>183</v>
      </c>
      <c r="B152" s="60" t="s">
        <v>185</v>
      </c>
      <c r="C152" s="56">
        <f t="shared" si="9"/>
        <v>3</v>
      </c>
      <c r="D152" s="56">
        <f t="shared" si="10"/>
        <v>0</v>
      </c>
      <c r="E152" s="56">
        <f t="shared" si="11"/>
        <v>1</v>
      </c>
      <c r="F152" s="56">
        <f t="shared" si="12"/>
        <v>2</v>
      </c>
      <c r="G152" s="56">
        <f t="shared" si="13"/>
        <v>1</v>
      </c>
      <c r="H152" s="56">
        <f t="shared" si="14"/>
        <v>9</v>
      </c>
      <c r="I152" s="56">
        <f t="shared" si="15"/>
        <v>-8</v>
      </c>
      <c r="J152" s="56">
        <f t="shared" si="16"/>
        <v>1</v>
      </c>
      <c r="K152" s="56">
        <f t="shared" si="17"/>
        <v>992001</v>
      </c>
      <c r="L152" s="61">
        <f>1+SUMPRODUCT(--($A$151:$A$154=$A152),--($K$151:$K$154&gt;K152))+SUMPRODUCT(--($A$151:$A$154=$A152),--($K$151:$K$154=K152),--(ROW($B$151:$B$154)&lt;ROW(B152)))</f>
        <v>4</v>
      </c>
      <c r="M152" s="61" t="str" cm="1">
        <f t="array" ref="M152">IF(L152=3,1+SUMPRODUCT(--($L$135:$L$182=3),--($K$135:$K$182&gt;K152))+SUMPRODUCT(--($L$135:$L$182=3),--($K$135:$K$182=K152),--(((($B$135:$B$182="Ghana")*(-3)+($B$135:$B$182="Ecuador")*(-5)))&gt;IF($B152="Ghana",-3,IF($B152="Ecuador",-5,0))))+SUMPRODUCT(--($L$135:$L$182=3),--($K$135:$K$182=K152),--(((($B$135:$B$182="Ghana")*(-3)+($B$135:$B$182="Ecuador")*(-5)))=IF($B152="Ghana",-3,IF($B152="Ecuador",-5,0))),--(ROW($B$135:$B$182)&lt;ROW(B152))),"")</f>
        <v/>
      </c>
      <c r="N152" s="61" t="str">
        <f t="shared" si="18"/>
        <v>No</v>
      </c>
    </row>
    <row r="153" spans="1:14" ht="15" customHeight="1">
      <c r="A153" s="59" t="s">
        <v>183</v>
      </c>
      <c r="B153" s="60" t="s">
        <v>186</v>
      </c>
      <c r="C153" s="56">
        <f t="shared" si="9"/>
        <v>3</v>
      </c>
      <c r="D153" s="56">
        <f t="shared" si="10"/>
        <v>2</v>
      </c>
      <c r="E153" s="56">
        <f t="shared" si="11"/>
        <v>0</v>
      </c>
      <c r="F153" s="56">
        <f t="shared" si="12"/>
        <v>1</v>
      </c>
      <c r="G153" s="56">
        <f t="shared" si="13"/>
        <v>4</v>
      </c>
      <c r="H153" s="56">
        <f t="shared" si="14"/>
        <v>2</v>
      </c>
      <c r="I153" s="56">
        <f t="shared" si="15"/>
        <v>2</v>
      </c>
      <c r="J153" s="56">
        <f t="shared" si="16"/>
        <v>6</v>
      </c>
      <c r="K153" s="56">
        <f t="shared" si="17"/>
        <v>6002004</v>
      </c>
      <c r="L153" s="61">
        <f>1+SUMPRODUCT(--($A$151:$A$154=$A153),--($K$151:$K$154&gt;K153))+SUMPRODUCT(--($A$151:$A$154=$A153),--($K$151:$K$154=K153),--(ROW($B$151:$B$154)&lt;ROW(B153)))</f>
        <v>2</v>
      </c>
      <c r="M153" s="61" t="str" cm="1">
        <f t="array" ref="M153">IF(L153=3,1+SUMPRODUCT(--($L$135:$L$182=3),--($K$135:$K$182&gt;K153))+SUMPRODUCT(--($L$135:$L$182=3),--($K$135:$K$182=K153),--(((($B$135:$B$182="Ghana")*(-3)+($B$135:$B$182="Ecuador")*(-5)))&gt;IF($B153="Ghana",-3,IF($B153="Ecuador",-5,0))))+SUMPRODUCT(--($L$135:$L$182=3),--($K$135:$K$182=K153),--(((($B$135:$B$182="Ghana")*(-3)+($B$135:$B$182="Ecuador")*(-5)))=IF($B153="Ghana",-3,IF($B153="Ecuador",-5,0))),--(ROW($B$135:$B$182)&lt;ROW(B153))),"")</f>
        <v/>
      </c>
      <c r="N153" s="61" t="str">
        <f t="shared" si="18"/>
        <v>Yes</v>
      </c>
    </row>
    <row r="154" spans="1:14" ht="15" customHeight="1">
      <c r="A154" s="59" t="s">
        <v>183</v>
      </c>
      <c r="B154" s="60" t="s">
        <v>187</v>
      </c>
      <c r="C154" s="56">
        <f t="shared" si="9"/>
        <v>3</v>
      </c>
      <c r="D154" s="56">
        <f t="shared" si="10"/>
        <v>1</v>
      </c>
      <c r="E154" s="56">
        <f t="shared" si="11"/>
        <v>1</v>
      </c>
      <c r="F154" s="56">
        <f t="shared" si="12"/>
        <v>1</v>
      </c>
      <c r="G154" s="56">
        <f t="shared" si="13"/>
        <v>2</v>
      </c>
      <c r="H154" s="56">
        <f t="shared" si="14"/>
        <v>2</v>
      </c>
      <c r="I154" s="56">
        <f t="shared" si="15"/>
        <v>0</v>
      </c>
      <c r="J154" s="56">
        <f t="shared" si="16"/>
        <v>4</v>
      </c>
      <c r="K154" s="56">
        <f t="shared" si="17"/>
        <v>4000002</v>
      </c>
      <c r="L154" s="61">
        <f>1+SUMPRODUCT(--($A$151:$A$154=$A154),--($K$151:$K$154&gt;K154))+SUMPRODUCT(--($A$151:$A$154=$A154),--($K$151:$K$154=K154),--(ROW($B$151:$B$154)&lt;ROW(B154)))</f>
        <v>3</v>
      </c>
      <c r="M154" s="61" cm="1">
        <f t="array" ref="M154">IF(L154=3,1+SUMPRODUCT(--($L$135:$L$182=3),--($K$135:$K$182&gt;K154))+SUMPRODUCT(--($L$135:$L$182=3),--($K$135:$K$182=K154),--(((($B$135:$B$182="Ghana")*(-3)+($B$135:$B$182="Ecuador")*(-5)))&gt;IF($B154="Ghana",-3,IF($B154="Ecuador",-5,0))))+SUMPRODUCT(--($L$135:$L$182=3),--($K$135:$K$182=K154),--(((($B$135:$B$182="Ghana")*(-3)+($B$135:$B$182="Ecuador")*(-5)))=IF($B154="Ghana",-3,IF($B154="Ecuador",-5,0))),--(ROW($B$135:$B$182)&lt;ROW(B154))),"")</f>
        <v>4</v>
      </c>
      <c r="N154" s="61" t="str">
        <f t="shared" si="18"/>
        <v>Yes</v>
      </c>
    </row>
    <row r="155" spans="1:14" ht="15" customHeight="1">
      <c r="A155" s="59" t="s">
        <v>188</v>
      </c>
      <c r="B155" s="60" t="s">
        <v>189</v>
      </c>
      <c r="C155" s="56">
        <f t="shared" si="9"/>
        <v>3</v>
      </c>
      <c r="D155" s="56">
        <f t="shared" si="10"/>
        <v>2</v>
      </c>
      <c r="E155" s="56">
        <f t="shared" si="11"/>
        <v>1</v>
      </c>
      <c r="F155" s="56">
        <f t="shared" si="12"/>
        <v>0</v>
      </c>
      <c r="G155" s="56">
        <f t="shared" si="13"/>
        <v>10</v>
      </c>
      <c r="H155" s="56">
        <f t="shared" si="14"/>
        <v>4</v>
      </c>
      <c r="I155" s="56">
        <f t="shared" si="15"/>
        <v>6</v>
      </c>
      <c r="J155" s="56">
        <f t="shared" si="16"/>
        <v>7</v>
      </c>
      <c r="K155" s="56">
        <f t="shared" si="17"/>
        <v>7006010</v>
      </c>
      <c r="L155" s="56">
        <f>1+SUMPRODUCT(--($A$155:$A$158=$A155),--($K$155:$K$158&gt;K155))+SUMPRODUCT(--($A$155:$A$158=$A155),--($K$155:$K$158=K155),--(ROW($B$155:$B$158)&lt;ROW(B155)))</f>
        <v>1</v>
      </c>
      <c r="M155" s="56" t="str" cm="1">
        <f t="array" ref="M155">IF(L155=3,1+SUMPRODUCT(--($L$135:$L$182=3),--($K$135:$K$182&gt;K155))+SUMPRODUCT(--($L$135:$L$182=3),--($K$135:$K$182=K155),--(((($B$135:$B$182="Ghana")*(-3)+($B$135:$B$182="Ecuador")*(-5)))&gt;IF($B155="Ghana",-3,IF($B155="Ecuador",-5,0))))+SUMPRODUCT(--($L$135:$L$182=3),--($K$135:$K$182=K155),--(((($B$135:$B$182="Ghana")*(-3)+($B$135:$B$182="Ecuador")*(-5)))=IF($B155="Ghana",-3,IF($B155="Ecuador",-5,0))),--(ROW($B$135:$B$182)&lt;ROW(B155))),"")</f>
        <v/>
      </c>
      <c r="N155" s="56" t="str">
        <f t="shared" si="18"/>
        <v>Yes</v>
      </c>
    </row>
    <row r="156" spans="1:14" ht="15" customHeight="1">
      <c r="A156" s="59" t="s">
        <v>188</v>
      </c>
      <c r="B156" s="60" t="s">
        <v>190</v>
      </c>
      <c r="C156" s="56">
        <f t="shared" si="9"/>
        <v>3</v>
      </c>
      <c r="D156" s="56">
        <f t="shared" si="10"/>
        <v>1</v>
      </c>
      <c r="E156" s="56">
        <f t="shared" si="11"/>
        <v>2</v>
      </c>
      <c r="F156" s="56">
        <f t="shared" si="12"/>
        <v>0</v>
      </c>
      <c r="G156" s="56">
        <f t="shared" si="13"/>
        <v>7</v>
      </c>
      <c r="H156" s="56">
        <f t="shared" si="14"/>
        <v>3</v>
      </c>
      <c r="I156" s="56">
        <f t="shared" si="15"/>
        <v>4</v>
      </c>
      <c r="J156" s="56">
        <f t="shared" si="16"/>
        <v>5</v>
      </c>
      <c r="K156" s="56">
        <f t="shared" si="17"/>
        <v>5004007</v>
      </c>
      <c r="L156" s="61">
        <f>1+SUMPRODUCT(--($A$155:$A$158=$A156),--($K$155:$K$158&gt;K156))+SUMPRODUCT(--($A$155:$A$158=$A156),--($K$155:$K$158=K156),--(ROW($B$155:$B$158)&lt;ROW(B156)))</f>
        <v>2</v>
      </c>
      <c r="M156" s="61" t="str" cm="1">
        <f t="array" ref="M156">IF(L156=3,1+SUMPRODUCT(--($L$135:$L$182=3),--($K$135:$K$182&gt;K156))+SUMPRODUCT(--($L$135:$L$182=3),--($K$135:$K$182=K156),--(((($B$135:$B$182="Ghana")*(-3)+($B$135:$B$182="Ecuador")*(-5)))&gt;IF($B156="Ghana",-3,IF($B156="Ecuador",-5,0))))+SUMPRODUCT(--($L$135:$L$182=3),--($K$135:$K$182=K156),--(((($B$135:$B$182="Ghana")*(-3)+($B$135:$B$182="Ecuador")*(-5)))=IF($B156="Ghana",-3,IF($B156="Ecuador",-5,0))),--(ROW($B$135:$B$182)&lt;ROW(B156))),"")</f>
        <v/>
      </c>
      <c r="N156" s="61" t="str">
        <f t="shared" si="18"/>
        <v>Yes</v>
      </c>
    </row>
    <row r="157" spans="1:14" ht="15" customHeight="1">
      <c r="A157" s="59" t="s">
        <v>188</v>
      </c>
      <c r="B157" s="60" t="s">
        <v>191</v>
      </c>
      <c r="C157" s="56">
        <f t="shared" si="9"/>
        <v>3</v>
      </c>
      <c r="D157" s="56">
        <f t="shared" si="10"/>
        <v>1</v>
      </c>
      <c r="E157" s="56">
        <f t="shared" si="11"/>
        <v>1</v>
      </c>
      <c r="F157" s="56">
        <f t="shared" si="12"/>
        <v>1</v>
      </c>
      <c r="G157" s="56">
        <f t="shared" si="13"/>
        <v>7</v>
      </c>
      <c r="H157" s="56">
        <f t="shared" si="14"/>
        <v>7</v>
      </c>
      <c r="I157" s="56">
        <f t="shared" si="15"/>
        <v>0</v>
      </c>
      <c r="J157" s="56">
        <f t="shared" si="16"/>
        <v>4</v>
      </c>
      <c r="K157" s="56">
        <f t="shared" si="17"/>
        <v>4000007</v>
      </c>
      <c r="L157" s="61">
        <f>1+SUMPRODUCT(--($A$155:$A$158=$A157),--($K$155:$K$158&gt;K157))+SUMPRODUCT(--($A$155:$A$158=$A157),--($K$155:$K$158=K157),--(ROW($B$155:$B$158)&lt;ROW(B157)))</f>
        <v>3</v>
      </c>
      <c r="M157" s="61" cm="1">
        <f t="array" ref="M157">IF(L157=3,1+SUMPRODUCT(--($L$135:$L$182=3),--($K$135:$K$182&gt;K157))+SUMPRODUCT(--($L$135:$L$182=3),--($K$135:$K$182=K157),--(((($B$135:$B$182="Ghana")*(-3)+($B$135:$B$182="Ecuador")*(-5)))&gt;IF($B157="Ghana",-3,IF($B157="Ecuador",-5,0))))+SUMPRODUCT(--($L$135:$L$182=3),--($K$135:$K$182=K157),--(((($B$135:$B$182="Ghana")*(-3)+($B$135:$B$182="Ecuador")*(-5)))=IF($B157="Ghana",-3,IF($B157="Ecuador",-5,0))),--(ROW($B$135:$B$182)&lt;ROW(B157))),"")</f>
        <v>2</v>
      </c>
      <c r="N157" s="61" t="str">
        <f t="shared" si="18"/>
        <v>Yes</v>
      </c>
    </row>
    <row r="158" spans="1:14" ht="15" customHeight="1">
      <c r="A158" s="59" t="s">
        <v>188</v>
      </c>
      <c r="B158" s="60" t="s">
        <v>192</v>
      </c>
      <c r="C158" s="56">
        <f t="shared" si="9"/>
        <v>3</v>
      </c>
      <c r="D158" s="56">
        <f t="shared" si="10"/>
        <v>0</v>
      </c>
      <c r="E158" s="56">
        <f t="shared" si="11"/>
        <v>0</v>
      </c>
      <c r="F158" s="56">
        <f t="shared" si="12"/>
        <v>3</v>
      </c>
      <c r="G158" s="56">
        <f t="shared" si="13"/>
        <v>2</v>
      </c>
      <c r="H158" s="56">
        <f t="shared" si="14"/>
        <v>12</v>
      </c>
      <c r="I158" s="56">
        <f t="shared" si="15"/>
        <v>-10</v>
      </c>
      <c r="J158" s="56">
        <f t="shared" si="16"/>
        <v>0</v>
      </c>
      <c r="K158" s="56">
        <f t="shared" si="17"/>
        <v>-9998</v>
      </c>
      <c r="L158" s="61">
        <f>1+SUMPRODUCT(--($A$155:$A$158=$A158),--($K$155:$K$158&gt;K158))+SUMPRODUCT(--($A$155:$A$158=$A158),--($K$155:$K$158=K158),--(ROW($B$155:$B$158)&lt;ROW(B158)))</f>
        <v>4</v>
      </c>
      <c r="M158" s="61" t="str" cm="1">
        <f t="array" ref="M158">IF(L158=3,1+SUMPRODUCT(--($L$135:$L$182=3),--($K$135:$K$182&gt;K158))+SUMPRODUCT(--($L$135:$L$182=3),--($K$135:$K$182=K158),--(((($B$135:$B$182="Ghana")*(-3)+($B$135:$B$182="Ecuador")*(-5)))&gt;IF($B158="Ghana",-3,IF($B158="Ecuador",-5,0))))+SUMPRODUCT(--($L$135:$L$182=3),--($K$135:$K$182=K158),--(((($B$135:$B$182="Ghana")*(-3)+($B$135:$B$182="Ecuador")*(-5)))=IF($B158="Ghana",-3,IF($B158="Ecuador",-5,0))),--(ROW($B$135:$B$182)&lt;ROW(B158))),"")</f>
        <v/>
      </c>
      <c r="N158" s="61" t="str">
        <f t="shared" si="18"/>
        <v>No</v>
      </c>
    </row>
    <row r="159" spans="1:14" ht="15" customHeight="1">
      <c r="A159" s="59" t="s">
        <v>193</v>
      </c>
      <c r="B159" s="60" t="s">
        <v>194</v>
      </c>
      <c r="C159" s="56">
        <f t="shared" si="9"/>
        <v>3</v>
      </c>
      <c r="D159" s="56">
        <f t="shared" si="10"/>
        <v>1</v>
      </c>
      <c r="E159" s="56">
        <f t="shared" si="11"/>
        <v>2</v>
      </c>
      <c r="F159" s="56">
        <f t="shared" si="12"/>
        <v>0</v>
      </c>
      <c r="G159" s="56">
        <f t="shared" si="13"/>
        <v>6</v>
      </c>
      <c r="H159" s="56">
        <f t="shared" si="14"/>
        <v>2</v>
      </c>
      <c r="I159" s="56">
        <f t="shared" si="15"/>
        <v>4</v>
      </c>
      <c r="J159" s="56">
        <f t="shared" si="16"/>
        <v>5</v>
      </c>
      <c r="K159" s="56">
        <f t="shared" si="17"/>
        <v>5004006</v>
      </c>
      <c r="L159" s="56">
        <f>1+SUMPRODUCT(--($A$159:$A$162=$A159),--($K$159:$K$162&gt;K159))+SUMPRODUCT(--($A$159:$A$162=$A159),--($K$159:$K$162=K159),--(ROW($B$159:$B$162)&lt;ROW(B159)))</f>
        <v>1</v>
      </c>
      <c r="M159" s="56" t="str" cm="1">
        <f t="array" ref="M159">IF(L159=3,1+SUMPRODUCT(--($L$135:$L$182=3),--($K$135:$K$182&gt;K159))+SUMPRODUCT(--($L$135:$L$182=3),--($K$135:$K$182=K159),--(((($B$135:$B$182="Ghana")*(-3)+($B$135:$B$182="Ecuador")*(-5)))&gt;IF($B159="Ghana",-3,IF($B159="Ecuador",-5,0))))+SUMPRODUCT(--($L$135:$L$182=3),--($K$135:$K$182=K159),--(((($B$135:$B$182="Ghana")*(-3)+($B$135:$B$182="Ecuador")*(-5)))=IF($B159="Ghana",-3,IF($B159="Ecuador",-5,0))),--(ROW($B$135:$B$182)&lt;ROW(B159))),"")</f>
        <v/>
      </c>
      <c r="N159" s="56" t="str">
        <f t="shared" si="18"/>
        <v>Yes</v>
      </c>
    </row>
    <row r="160" spans="1:14" ht="15" customHeight="1">
      <c r="A160" s="59" t="s">
        <v>193</v>
      </c>
      <c r="B160" s="60" t="s">
        <v>195</v>
      </c>
      <c r="C160" s="56">
        <f t="shared" si="9"/>
        <v>3</v>
      </c>
      <c r="D160" s="56">
        <f t="shared" si="10"/>
        <v>1</v>
      </c>
      <c r="E160" s="56">
        <f t="shared" si="11"/>
        <v>2</v>
      </c>
      <c r="F160" s="56">
        <f t="shared" si="12"/>
        <v>0</v>
      </c>
      <c r="G160" s="56">
        <f t="shared" si="13"/>
        <v>5</v>
      </c>
      <c r="H160" s="56">
        <f t="shared" si="14"/>
        <v>3</v>
      </c>
      <c r="I160" s="56">
        <f t="shared" si="15"/>
        <v>2</v>
      </c>
      <c r="J160" s="56">
        <f t="shared" si="16"/>
        <v>5</v>
      </c>
      <c r="K160" s="56">
        <f t="shared" si="17"/>
        <v>5002005</v>
      </c>
      <c r="L160" s="61">
        <f>1+SUMPRODUCT(--($A$159:$A$162=$A160),--($K$159:$K$162&gt;K160))+SUMPRODUCT(--($A$159:$A$162=$A160),--($K$159:$K$162=K160),--(ROW($B$159:$B$162)&lt;ROW(B160)))</f>
        <v>2</v>
      </c>
      <c r="M160" s="61" t="str" cm="1">
        <f t="array" ref="M160">IF(L160=3,1+SUMPRODUCT(--($L$135:$L$182=3),--($K$135:$K$182&gt;K160))+SUMPRODUCT(--($L$135:$L$182=3),--($K$135:$K$182=K160),--(((($B$135:$B$182="Ghana")*(-3)+($B$135:$B$182="Ecuador")*(-5)))&gt;IF($B160="Ghana",-3,IF($B160="Ecuador",-5,0))))+SUMPRODUCT(--($L$135:$L$182=3),--($K$135:$K$182=K160),--(((($B$135:$B$182="Ghana")*(-3)+($B$135:$B$182="Ecuador")*(-5)))=IF($B160="Ghana",-3,IF($B160="Ecuador",-5,0))),--(ROW($B$135:$B$182)&lt;ROW(B160))),"")</f>
        <v/>
      </c>
      <c r="N160" s="61" t="str">
        <f t="shared" si="18"/>
        <v>Yes</v>
      </c>
    </row>
    <row r="161" spans="1:14" ht="15" customHeight="1">
      <c r="A161" s="59" t="s">
        <v>193</v>
      </c>
      <c r="B161" s="60" t="s">
        <v>196</v>
      </c>
      <c r="C161" s="56">
        <f t="shared" si="9"/>
        <v>3</v>
      </c>
      <c r="D161" s="56">
        <f t="shared" si="10"/>
        <v>0</v>
      </c>
      <c r="E161" s="56">
        <f t="shared" si="11"/>
        <v>3</v>
      </c>
      <c r="F161" s="56">
        <f t="shared" si="12"/>
        <v>0</v>
      </c>
      <c r="G161" s="56">
        <f t="shared" si="13"/>
        <v>3</v>
      </c>
      <c r="H161" s="56">
        <f t="shared" si="14"/>
        <v>3</v>
      </c>
      <c r="I161" s="56">
        <f t="shared" si="15"/>
        <v>0</v>
      </c>
      <c r="J161" s="56">
        <f t="shared" si="16"/>
        <v>3</v>
      </c>
      <c r="K161" s="56">
        <f t="shared" si="17"/>
        <v>3000003</v>
      </c>
      <c r="L161" s="61">
        <f>1+SUMPRODUCT(--($A$159:$A$162=$A161),--($K$159:$K$162&gt;K161))+SUMPRODUCT(--($A$159:$A$162=$A161),--($K$159:$K$162=K161),--(ROW($B$159:$B$162)&lt;ROW(B161)))</f>
        <v>3</v>
      </c>
      <c r="M161" s="61" cm="1">
        <f t="array" ref="M161">IF(L161=3,1+SUMPRODUCT(--($L$135:$L$182=3),--($K$135:$K$182&gt;K161))+SUMPRODUCT(--($L$135:$L$182=3),--($K$135:$K$182=K161),--(((($B$135:$B$182="Ghana")*(-3)+($B$135:$B$182="Ecuador")*(-5)))&gt;IF($B161="Ghana",-3,IF($B161="Ecuador",-5,0))))+SUMPRODUCT(--($L$135:$L$182=3),--($K$135:$K$182=K161),--(((($B$135:$B$182="Ghana")*(-3)+($B$135:$B$182="Ecuador")*(-5)))=IF($B161="Ghana",-3,IF($B161="Ecuador",-5,0))),--(ROW($B$135:$B$182)&lt;ROW(B161))),"")</f>
        <v>9</v>
      </c>
      <c r="N161" s="61" t="str">
        <f t="shared" si="18"/>
        <v>No</v>
      </c>
    </row>
    <row r="162" spans="1:14" ht="15" customHeight="1">
      <c r="A162" s="59" t="s">
        <v>193</v>
      </c>
      <c r="B162" s="60" t="s">
        <v>197</v>
      </c>
      <c r="C162" s="56">
        <f t="shared" si="9"/>
        <v>3</v>
      </c>
      <c r="D162" s="56">
        <f t="shared" si="10"/>
        <v>0</v>
      </c>
      <c r="E162" s="56">
        <f t="shared" si="11"/>
        <v>1</v>
      </c>
      <c r="F162" s="56">
        <f t="shared" si="12"/>
        <v>2</v>
      </c>
      <c r="G162" s="56">
        <f t="shared" si="13"/>
        <v>4</v>
      </c>
      <c r="H162" s="56">
        <f t="shared" si="14"/>
        <v>10</v>
      </c>
      <c r="I162" s="56">
        <f t="shared" si="15"/>
        <v>-6</v>
      </c>
      <c r="J162" s="56">
        <f t="shared" si="16"/>
        <v>1</v>
      </c>
      <c r="K162" s="56">
        <f t="shared" si="17"/>
        <v>994004</v>
      </c>
      <c r="L162" s="61">
        <f>1+SUMPRODUCT(--($A$159:$A$162=$A162),--($K$159:$K$162&gt;K162))+SUMPRODUCT(--($A$159:$A$162=$A162),--($K$159:$K$162=K162),--(ROW($B$159:$B$162)&lt;ROW(B162)))</f>
        <v>4</v>
      </c>
      <c r="M162" s="61" t="str" cm="1">
        <f t="array" ref="M162">IF(L162=3,1+SUMPRODUCT(--($L$135:$L$182=3),--($K$135:$K$182&gt;K162))+SUMPRODUCT(--($L$135:$L$182=3),--($K$135:$K$182=K162),--(((($B$135:$B$182="Ghana")*(-3)+($B$135:$B$182="Ecuador")*(-5)))&gt;IF($B162="Ghana",-3,IF($B162="Ecuador",-5,0))))+SUMPRODUCT(--($L$135:$L$182=3),--($K$135:$K$182=K162),--(((($B$135:$B$182="Ghana")*(-3)+($B$135:$B$182="Ecuador")*(-5)))=IF($B162="Ghana",-3,IF($B162="Ecuador",-5,0))),--(ROW($B$135:$B$182)&lt;ROW(B162))),"")</f>
        <v/>
      </c>
      <c r="N162" s="61" t="str">
        <f t="shared" si="18"/>
        <v>No</v>
      </c>
    </row>
    <row r="163" spans="1:14" ht="15" customHeight="1">
      <c r="A163" s="59" t="s">
        <v>198</v>
      </c>
      <c r="B163" s="60" t="s">
        <v>199</v>
      </c>
      <c r="C163" s="56">
        <f t="shared" si="9"/>
        <v>3</v>
      </c>
      <c r="D163" s="56">
        <f t="shared" si="10"/>
        <v>2</v>
      </c>
      <c r="E163" s="56">
        <f t="shared" si="11"/>
        <v>1</v>
      </c>
      <c r="F163" s="56">
        <f t="shared" si="12"/>
        <v>0</v>
      </c>
      <c r="G163" s="56">
        <f t="shared" si="13"/>
        <v>5</v>
      </c>
      <c r="H163" s="56">
        <f t="shared" si="14"/>
        <v>0</v>
      </c>
      <c r="I163" s="56">
        <f t="shared" si="15"/>
        <v>5</v>
      </c>
      <c r="J163" s="56">
        <f t="shared" si="16"/>
        <v>7</v>
      </c>
      <c r="K163" s="56">
        <f t="shared" si="17"/>
        <v>7005005</v>
      </c>
      <c r="L163" s="56">
        <f>1+SUMPRODUCT(--($A$163:$A$166=$A163),--($K$163:$K$166&gt;K163))+SUMPRODUCT(--($A$163:$A$166=$A163),--($K$163:$K$166=K163),--(ROW($B$163:$B$166)&lt;ROW(B163)))</f>
        <v>1</v>
      </c>
      <c r="M163" s="56" t="str" cm="1">
        <f t="array" ref="M163">IF(L163=3,1+SUMPRODUCT(--($L$135:$L$182=3),--($K$135:$K$182&gt;K163))+SUMPRODUCT(--($L$135:$L$182=3),--($K$135:$K$182=K163),--(((($B$135:$B$182="Ghana")*(-3)+($B$135:$B$182="Ecuador")*(-5)))&gt;IF($B163="Ghana",-3,IF($B163="Ecuador",-5,0))))+SUMPRODUCT(--($L$135:$L$182=3),--($K$135:$K$182=K163),--(((($B$135:$B$182="Ghana")*(-3)+($B$135:$B$182="Ecuador")*(-5)))=IF($B163="Ghana",-3,IF($B163="Ecuador",-5,0))),--(ROW($B$135:$B$182)&lt;ROW(B163))),"")</f>
        <v/>
      </c>
      <c r="N163" s="56" t="str">
        <f t="shared" si="18"/>
        <v>Yes</v>
      </c>
    </row>
    <row r="164" spans="1:14" ht="15" customHeight="1">
      <c r="A164" s="59" t="s">
        <v>198</v>
      </c>
      <c r="B164" s="60" t="s">
        <v>200</v>
      </c>
      <c r="C164" s="56">
        <f t="shared" si="9"/>
        <v>3</v>
      </c>
      <c r="D164" s="56">
        <f t="shared" si="10"/>
        <v>0</v>
      </c>
      <c r="E164" s="56">
        <f t="shared" si="11"/>
        <v>3</v>
      </c>
      <c r="F164" s="56">
        <f t="shared" si="12"/>
        <v>0</v>
      </c>
      <c r="G164" s="56">
        <f t="shared" si="13"/>
        <v>2</v>
      </c>
      <c r="H164" s="56">
        <f t="shared" si="14"/>
        <v>2</v>
      </c>
      <c r="I164" s="56">
        <f t="shared" si="15"/>
        <v>0</v>
      </c>
      <c r="J164" s="56">
        <f t="shared" si="16"/>
        <v>3</v>
      </c>
      <c r="K164" s="56">
        <f t="shared" si="17"/>
        <v>3000002</v>
      </c>
      <c r="L164" s="61">
        <f>1+SUMPRODUCT(--($A$163:$A$166=$A164),--($K$163:$K$166&gt;K164))+SUMPRODUCT(--($A$163:$A$166=$A164),--($K$163:$K$166=K164),--(ROW($B$163:$B$166)&lt;ROW(B164)))</f>
        <v>2</v>
      </c>
      <c r="M164" s="61" t="str" cm="1">
        <f t="array" ref="M164">IF(L164=3,1+SUMPRODUCT(--($L$135:$L$182=3),--($K$135:$K$182&gt;K164))+SUMPRODUCT(--($L$135:$L$182=3),--($K$135:$K$182=K164),--(((($B$135:$B$182="Ghana")*(-3)+($B$135:$B$182="Ecuador")*(-5)))&gt;IF($B164="Ghana",-3,IF($B164="Ecuador",-5,0))))+SUMPRODUCT(--($L$135:$L$182=3),--($K$135:$K$182=K164),--(((($B$135:$B$182="Ghana")*(-3)+($B$135:$B$182="Ecuador")*(-5)))=IF($B164="Ghana",-3,IF($B164="Ecuador",-5,0))),--(ROW($B$135:$B$182)&lt;ROW(B164))),"")</f>
        <v/>
      </c>
      <c r="N164" s="61" t="str">
        <f t="shared" si="18"/>
        <v>Yes</v>
      </c>
    </row>
    <row r="165" spans="1:14" ht="15" customHeight="1">
      <c r="A165" s="59" t="s">
        <v>198</v>
      </c>
      <c r="B165" s="60" t="s">
        <v>201</v>
      </c>
      <c r="C165" s="56">
        <f t="shared" si="9"/>
        <v>3</v>
      </c>
      <c r="D165" s="56">
        <f t="shared" si="10"/>
        <v>0</v>
      </c>
      <c r="E165" s="56">
        <f t="shared" si="11"/>
        <v>2</v>
      </c>
      <c r="F165" s="56">
        <f t="shared" si="12"/>
        <v>1</v>
      </c>
      <c r="G165" s="56">
        <f t="shared" si="13"/>
        <v>1</v>
      </c>
      <c r="H165" s="56">
        <f t="shared" si="14"/>
        <v>5</v>
      </c>
      <c r="I165" s="56">
        <f t="shared" si="15"/>
        <v>-4</v>
      </c>
      <c r="J165" s="56">
        <f t="shared" si="16"/>
        <v>2</v>
      </c>
      <c r="K165" s="56">
        <f t="shared" si="17"/>
        <v>1996001</v>
      </c>
      <c r="L165" s="61">
        <f>1+SUMPRODUCT(--($A$163:$A$166=$A165),--($K$163:$K$166&gt;K165))+SUMPRODUCT(--($A$163:$A$166=$A165),--($K$163:$K$166=K165),--(ROW($B$163:$B$166)&lt;ROW(B165)))</f>
        <v>4</v>
      </c>
      <c r="M165" s="61" t="str" cm="1">
        <f t="array" ref="M165">IF(L165=3,1+SUMPRODUCT(--($L$135:$L$182=3),--($K$135:$K$182&gt;K165))+SUMPRODUCT(--($L$135:$L$182=3),--($K$135:$K$182=K165),--(((($B$135:$B$182="Ghana")*(-3)+($B$135:$B$182="Ecuador")*(-5)))&gt;IF($B165="Ghana",-3,IF($B165="Ecuador",-5,0))))+SUMPRODUCT(--($L$135:$L$182=3),--($K$135:$K$182=K165),--(((($B$135:$B$182="Ghana")*(-3)+($B$135:$B$182="Ecuador")*(-5)))=IF($B165="Ghana",-3,IF($B165="Ecuador",-5,0))),--(ROW($B$135:$B$182)&lt;ROW(B165))),"")</f>
        <v/>
      </c>
      <c r="N165" s="61" t="str">
        <f t="shared" si="18"/>
        <v>No</v>
      </c>
    </row>
    <row r="166" spans="1:14" ht="15" customHeight="1">
      <c r="A166" s="59" t="s">
        <v>198</v>
      </c>
      <c r="B166" s="60" t="s">
        <v>202</v>
      </c>
      <c r="C166" s="56">
        <f t="shared" si="9"/>
        <v>3</v>
      </c>
      <c r="D166" s="56">
        <f t="shared" si="10"/>
        <v>0</v>
      </c>
      <c r="E166" s="56">
        <f t="shared" si="11"/>
        <v>2</v>
      </c>
      <c r="F166" s="56">
        <f t="shared" si="12"/>
        <v>1</v>
      </c>
      <c r="G166" s="56">
        <f t="shared" si="13"/>
        <v>3</v>
      </c>
      <c r="H166" s="56">
        <f t="shared" si="14"/>
        <v>4</v>
      </c>
      <c r="I166" s="56">
        <f t="shared" si="15"/>
        <v>-1</v>
      </c>
      <c r="J166" s="56">
        <f t="shared" si="16"/>
        <v>2</v>
      </c>
      <c r="K166" s="56">
        <f t="shared" si="17"/>
        <v>1999003</v>
      </c>
      <c r="L166" s="61">
        <f>1+SUMPRODUCT(--($A$163:$A$166=$A166),--($K$163:$K$166&gt;K166))+SUMPRODUCT(--($A$163:$A$166=$A166),--($K$163:$K$166=K166),--(ROW($B$163:$B$166)&lt;ROW(B166)))</f>
        <v>3</v>
      </c>
      <c r="M166" s="61" cm="1">
        <f t="array" ref="M166">IF(L166=3,1+SUMPRODUCT(--($L$135:$L$182=3),--($K$135:$K$182&gt;K166))+SUMPRODUCT(--($L$135:$L$182=3),--($K$135:$K$182=K166),--(((($B$135:$B$182="Ghana")*(-3)+($B$135:$B$182="Ecuador")*(-5)))&gt;IF($B166="Ghana",-3,IF($B166="Ecuador",-5,0))))+SUMPRODUCT(--($L$135:$L$182=3),--($K$135:$K$182=K166),--(((($B$135:$B$182="Ghana")*(-3)+($B$135:$B$182="Ecuador")*(-5)))=IF($B166="Ghana",-3,IF($B166="Ecuador",-5,0))),--(ROW($B$135:$B$182)&lt;ROW(B166))),"")</f>
        <v>12</v>
      </c>
      <c r="N166" s="61" t="str">
        <f t="shared" si="18"/>
        <v>No</v>
      </c>
    </row>
    <row r="167" spans="1:14" ht="15" customHeight="1">
      <c r="A167" s="59" t="s">
        <v>203</v>
      </c>
      <c r="B167" s="60" t="s">
        <v>204</v>
      </c>
      <c r="C167" s="56">
        <f t="shared" si="9"/>
        <v>3</v>
      </c>
      <c r="D167" s="56">
        <f t="shared" si="10"/>
        <v>3</v>
      </c>
      <c r="E167" s="56">
        <f t="shared" si="11"/>
        <v>0</v>
      </c>
      <c r="F167" s="56">
        <f t="shared" si="12"/>
        <v>0</v>
      </c>
      <c r="G167" s="56">
        <f t="shared" si="13"/>
        <v>10</v>
      </c>
      <c r="H167" s="56">
        <f t="shared" si="14"/>
        <v>2</v>
      </c>
      <c r="I167" s="56">
        <f t="shared" si="15"/>
        <v>8</v>
      </c>
      <c r="J167" s="56">
        <f t="shared" si="16"/>
        <v>9</v>
      </c>
      <c r="K167" s="56">
        <f t="shared" si="17"/>
        <v>9008010</v>
      </c>
      <c r="L167" s="56">
        <f>1+SUMPRODUCT(--($A$167:$A$170=$A167),--($K$167:$K$170&gt;K167))+SUMPRODUCT(--($A$167:$A$170=$A167),--($K$167:$K$170=K167),--(ROW($B$167:$B$170)&lt;ROW(B167)))</f>
        <v>1</v>
      </c>
      <c r="M167" s="56" t="str" cm="1">
        <f t="array" ref="M167">IF(L167=3,1+SUMPRODUCT(--($L$135:$L$182=3),--($K$135:$K$182&gt;K167))+SUMPRODUCT(--($L$135:$L$182=3),--($K$135:$K$182=K167),--(((($B$135:$B$182="Ghana")*(-3)+($B$135:$B$182="Ecuador")*(-5)))&gt;IF($B167="Ghana",-3,IF($B167="Ecuador",-5,0))))+SUMPRODUCT(--($L$135:$L$182=3),--($K$135:$K$182=K167),--(((($B$135:$B$182="Ghana")*(-3)+($B$135:$B$182="Ecuador")*(-5)))=IF($B167="Ghana",-3,IF($B167="Ecuador",-5,0))),--(ROW($B$135:$B$182)&lt;ROW(B167))),"")</f>
        <v/>
      </c>
      <c r="N167" s="56" t="str">
        <f t="shared" si="18"/>
        <v>Yes</v>
      </c>
    </row>
    <row r="168" spans="1:14" ht="15" customHeight="1">
      <c r="A168" s="59" t="s">
        <v>203</v>
      </c>
      <c r="B168" s="60" t="s">
        <v>205</v>
      </c>
      <c r="C168" s="56">
        <f t="shared" si="9"/>
        <v>3</v>
      </c>
      <c r="D168" s="56">
        <f t="shared" si="10"/>
        <v>1</v>
      </c>
      <c r="E168" s="56">
        <f t="shared" si="11"/>
        <v>0</v>
      </c>
      <c r="F168" s="56">
        <f t="shared" si="12"/>
        <v>2</v>
      </c>
      <c r="G168" s="56">
        <f t="shared" si="13"/>
        <v>8</v>
      </c>
      <c r="H168" s="56">
        <f t="shared" si="14"/>
        <v>6</v>
      </c>
      <c r="I168" s="56">
        <f t="shared" si="15"/>
        <v>2</v>
      </c>
      <c r="J168" s="56">
        <f t="shared" si="16"/>
        <v>3</v>
      </c>
      <c r="K168" s="56">
        <f t="shared" si="17"/>
        <v>3002008</v>
      </c>
      <c r="L168" s="61">
        <f>1+SUMPRODUCT(--($A$167:$A$170=$A168),--($K$167:$K$170&gt;K168))+SUMPRODUCT(--($A$167:$A$170=$A168),--($K$167:$K$170=K168),--(ROW($B$167:$B$170)&lt;ROW(B168)))</f>
        <v>3</v>
      </c>
      <c r="M168" s="61" cm="1">
        <f t="array" ref="M168">IF(L168=3,1+SUMPRODUCT(--($L$135:$L$182=3),--($K$135:$K$182&gt;K168))+SUMPRODUCT(--($L$135:$L$182=3),--($K$135:$K$182=K168),--(((($B$135:$B$182="Ghana")*(-3)+($B$135:$B$182="Ecuador")*(-5)))&gt;IF($B168="Ghana",-3,IF($B168="Ecuador",-5,0))))+SUMPRODUCT(--($L$135:$L$182=3),--($K$135:$K$182=K168),--(((($B$135:$B$182="Ghana")*(-3)+($B$135:$B$182="Ecuador")*(-5)))=IF($B168="Ghana",-3,IF($B168="Ecuador",-5,0))),--(ROW($B$135:$B$182)&lt;ROW(B168))),"")</f>
        <v>8</v>
      </c>
      <c r="N168" s="61" t="str">
        <f t="shared" si="18"/>
        <v>Yes</v>
      </c>
    </row>
    <row r="169" spans="1:14" ht="15" customHeight="1">
      <c r="A169" s="59" t="s">
        <v>203</v>
      </c>
      <c r="B169" s="60" t="s">
        <v>206</v>
      </c>
      <c r="C169" s="56">
        <f t="shared" si="9"/>
        <v>3</v>
      </c>
      <c r="D169" s="56">
        <f t="shared" si="10"/>
        <v>0</v>
      </c>
      <c r="E169" s="56">
        <f t="shared" si="11"/>
        <v>0</v>
      </c>
      <c r="F169" s="56">
        <f t="shared" si="12"/>
        <v>3</v>
      </c>
      <c r="G169" s="56">
        <f t="shared" si="13"/>
        <v>1</v>
      </c>
      <c r="H169" s="56">
        <f t="shared" si="14"/>
        <v>12</v>
      </c>
      <c r="I169" s="56">
        <f t="shared" si="15"/>
        <v>-11</v>
      </c>
      <c r="J169" s="56">
        <f t="shared" si="16"/>
        <v>0</v>
      </c>
      <c r="K169" s="56">
        <f t="shared" si="17"/>
        <v>-10999</v>
      </c>
      <c r="L169" s="61">
        <f>1+SUMPRODUCT(--($A$167:$A$170=$A169),--($K$167:$K$170&gt;K169))+SUMPRODUCT(--($A$167:$A$170=$A169),--($K$167:$K$170=K169),--(ROW($B$167:$B$170)&lt;ROW(B169)))</f>
        <v>4</v>
      </c>
      <c r="M169" s="61" t="str" cm="1">
        <f t="array" ref="M169">IF(L169=3,1+SUMPRODUCT(--($L$135:$L$182=3),--($K$135:$K$182&gt;K169))+SUMPRODUCT(--($L$135:$L$182=3),--($K$135:$K$182=K169),--(((($B$135:$B$182="Ghana")*(-3)+($B$135:$B$182="Ecuador")*(-5)))&gt;IF($B169="Ghana",-3,IF($B169="Ecuador",-5,0))))+SUMPRODUCT(--($L$135:$L$182=3),--($K$135:$K$182=K169),--(((($B$135:$B$182="Ghana")*(-3)+($B$135:$B$182="Ecuador")*(-5)))=IF($B169="Ghana",-3,IF($B169="Ecuador",-5,0))),--(ROW($B$135:$B$182)&lt;ROW(B169))),"")</f>
        <v/>
      </c>
      <c r="N169" s="61" t="str">
        <f t="shared" si="18"/>
        <v>No</v>
      </c>
    </row>
    <row r="170" spans="1:14" ht="15" customHeight="1">
      <c r="A170" s="59" t="s">
        <v>203</v>
      </c>
      <c r="B170" s="60" t="s">
        <v>207</v>
      </c>
      <c r="C170" s="56">
        <f t="shared" si="9"/>
        <v>3</v>
      </c>
      <c r="D170" s="56">
        <f t="shared" si="10"/>
        <v>2</v>
      </c>
      <c r="E170" s="56">
        <f t="shared" si="11"/>
        <v>0</v>
      </c>
      <c r="F170" s="56">
        <f t="shared" si="12"/>
        <v>1</v>
      </c>
      <c r="G170" s="56">
        <f t="shared" si="13"/>
        <v>8</v>
      </c>
      <c r="H170" s="56">
        <f t="shared" si="14"/>
        <v>7</v>
      </c>
      <c r="I170" s="56">
        <f t="shared" si="15"/>
        <v>1</v>
      </c>
      <c r="J170" s="56">
        <f t="shared" si="16"/>
        <v>6</v>
      </c>
      <c r="K170" s="56">
        <f t="shared" si="17"/>
        <v>6001008</v>
      </c>
      <c r="L170" s="61">
        <f>1+SUMPRODUCT(--($A$167:$A$170=$A170),--($K$167:$K$170&gt;K170))+SUMPRODUCT(--($A$167:$A$170=$A170),--($K$167:$K$170=K170),--(ROW($B$167:$B$170)&lt;ROW(B170)))</f>
        <v>2</v>
      </c>
      <c r="M170" s="61" t="str" cm="1">
        <f t="array" ref="M170">IF(L170=3,1+SUMPRODUCT(--($L$135:$L$182=3),--($K$135:$K$182&gt;K170))+SUMPRODUCT(--($L$135:$L$182=3),--($K$135:$K$182=K170),--(((($B$135:$B$182="Ghana")*(-3)+($B$135:$B$182="Ecuador")*(-5)))&gt;IF($B170="Ghana",-3,IF($B170="Ecuador",-5,0))))+SUMPRODUCT(--($L$135:$L$182=3),--($K$135:$K$182=K170),--(((($B$135:$B$182="Ghana")*(-3)+($B$135:$B$182="Ecuador")*(-5)))=IF($B170="Ghana",-3,IF($B170="Ecuador",-5,0))),--(ROW($B$135:$B$182)&lt;ROW(B170))),"")</f>
        <v/>
      </c>
      <c r="N170" s="61" t="str">
        <f t="shared" si="18"/>
        <v>Yes</v>
      </c>
    </row>
    <row r="171" spans="1:14" ht="15" customHeight="1">
      <c r="A171" s="59" t="s">
        <v>208</v>
      </c>
      <c r="B171" s="60" t="s">
        <v>209</v>
      </c>
      <c r="C171" s="56">
        <f t="shared" si="9"/>
        <v>3</v>
      </c>
      <c r="D171" s="56">
        <f t="shared" si="10"/>
        <v>3</v>
      </c>
      <c r="E171" s="56">
        <f t="shared" si="11"/>
        <v>0</v>
      </c>
      <c r="F171" s="56">
        <f t="shared" si="12"/>
        <v>0</v>
      </c>
      <c r="G171" s="56">
        <f t="shared" si="13"/>
        <v>8</v>
      </c>
      <c r="H171" s="56">
        <f t="shared" si="14"/>
        <v>1</v>
      </c>
      <c r="I171" s="56">
        <f t="shared" si="15"/>
        <v>7</v>
      </c>
      <c r="J171" s="56">
        <f t="shared" si="16"/>
        <v>9</v>
      </c>
      <c r="K171" s="56">
        <f t="shared" si="17"/>
        <v>9007008</v>
      </c>
      <c r="L171" s="56">
        <f>1+SUMPRODUCT(--($A$171:$A$174=$A171),--($K$171:$K$174&gt;K171))+SUMPRODUCT(--($A$171:$A$174=$A171),--($K$171:$K$174=K171),--(ROW($B$171:$B$174)&lt;ROW(B171)))</f>
        <v>1</v>
      </c>
      <c r="M171" s="56" t="str" cm="1">
        <f t="array" ref="M171">IF(L171=3,1+SUMPRODUCT(--($L$135:$L$182=3),--($K$135:$K$182&gt;K171))+SUMPRODUCT(--($L$135:$L$182=3),--($K$135:$K$182=K171),--(((($B$135:$B$182="Ghana")*(-3)+($B$135:$B$182="Ecuador")*(-5)))&gt;IF($B171="Ghana",-3,IF($B171="Ecuador",-5,0))))+SUMPRODUCT(--($L$135:$L$182=3),--($K$135:$K$182=K171),--(((($B$135:$B$182="Ghana")*(-3)+($B$135:$B$182="Ecuador")*(-5)))=IF($B171="Ghana",-3,IF($B171="Ecuador",-5,0))),--(ROW($B$135:$B$182)&lt;ROW(B171))),"")</f>
        <v/>
      </c>
      <c r="N171" s="56" t="str">
        <f t="shared" si="18"/>
        <v>Yes</v>
      </c>
    </row>
    <row r="172" spans="1:14" ht="15" customHeight="1">
      <c r="A172" s="59" t="s">
        <v>208</v>
      </c>
      <c r="B172" s="60" t="s">
        <v>210</v>
      </c>
      <c r="C172" s="56">
        <f t="shared" si="9"/>
        <v>3</v>
      </c>
      <c r="D172" s="56">
        <f t="shared" si="10"/>
        <v>1</v>
      </c>
      <c r="E172" s="56">
        <f t="shared" si="11"/>
        <v>1</v>
      </c>
      <c r="F172" s="56">
        <f t="shared" si="12"/>
        <v>1</v>
      </c>
      <c r="G172" s="56">
        <f t="shared" si="13"/>
        <v>5</v>
      </c>
      <c r="H172" s="56">
        <f t="shared" si="14"/>
        <v>7</v>
      </c>
      <c r="I172" s="56">
        <f t="shared" si="15"/>
        <v>-2</v>
      </c>
      <c r="J172" s="56">
        <f t="shared" si="16"/>
        <v>4</v>
      </c>
      <c r="K172" s="56">
        <f t="shared" si="17"/>
        <v>3998005</v>
      </c>
      <c r="L172" s="61">
        <f>1+SUMPRODUCT(--($A$171:$A$174=$A172),--($K$171:$K$174&gt;K172))+SUMPRODUCT(--($A$171:$A$174=$A172),--($K$171:$K$174=K172),--(ROW($B$171:$B$174)&lt;ROW(B172)))</f>
        <v>3</v>
      </c>
      <c r="M172" s="61" cm="1">
        <f t="array" ref="M172">IF(L172=3,1+SUMPRODUCT(--($L$135:$L$182=3),--($K$135:$K$182&gt;K172))+SUMPRODUCT(--($L$135:$L$182=3),--($K$135:$K$182=K172),--(((($B$135:$B$182="Ghana")*(-3)+($B$135:$B$182="Ecuador")*(-5)))&gt;IF($B172="Ghana",-3,IF($B172="Ecuador",-5,0))))+SUMPRODUCT(--($L$135:$L$182=3),--($K$135:$K$182=K172),--(((($B$135:$B$182="Ghana")*(-3)+($B$135:$B$182="Ecuador")*(-5)))=IF($B172="Ghana",-3,IF($B172="Ecuador",-5,0))),--(ROW($B$135:$B$182)&lt;ROW(B172))),"")</f>
        <v>6</v>
      </c>
      <c r="N172" s="61" t="str">
        <f t="shared" si="18"/>
        <v>Yes</v>
      </c>
    </row>
    <row r="173" spans="1:14" ht="15" customHeight="1">
      <c r="A173" s="59" t="s">
        <v>208</v>
      </c>
      <c r="B173" s="60" t="s">
        <v>211</v>
      </c>
      <c r="C173" s="56">
        <f t="shared" si="9"/>
        <v>3</v>
      </c>
      <c r="D173" s="56">
        <f t="shared" si="10"/>
        <v>1</v>
      </c>
      <c r="E173" s="56">
        <f t="shared" si="11"/>
        <v>1</v>
      </c>
      <c r="F173" s="56">
        <f t="shared" si="12"/>
        <v>1</v>
      </c>
      <c r="G173" s="56">
        <f t="shared" si="13"/>
        <v>6</v>
      </c>
      <c r="H173" s="56">
        <f t="shared" si="14"/>
        <v>6</v>
      </c>
      <c r="I173" s="56">
        <f t="shared" si="15"/>
        <v>0</v>
      </c>
      <c r="J173" s="56">
        <f t="shared" si="16"/>
        <v>4</v>
      </c>
      <c r="K173" s="56">
        <f t="shared" si="17"/>
        <v>4000006</v>
      </c>
      <c r="L173" s="61">
        <f>1+SUMPRODUCT(--($A$171:$A$174=$A173),--($K$171:$K$174&gt;K173))+SUMPRODUCT(--($A$171:$A$174=$A173),--($K$171:$K$174=K173),--(ROW($B$171:$B$174)&lt;ROW(B173)))</f>
        <v>2</v>
      </c>
      <c r="M173" s="61" t="str" cm="1">
        <f t="array" ref="M173">IF(L173=3,1+SUMPRODUCT(--($L$135:$L$182=3),--($K$135:$K$182&gt;K173))+SUMPRODUCT(--($L$135:$L$182=3),--($K$135:$K$182=K173),--(((($B$135:$B$182="Ghana")*(-3)+($B$135:$B$182="Ecuador")*(-5)))&gt;IF($B173="Ghana",-3,IF($B173="Ecuador",-5,0))))+SUMPRODUCT(--($L$135:$L$182=3),--($K$135:$K$182=K173),--(((($B$135:$B$182="Ghana")*(-3)+($B$135:$B$182="Ecuador")*(-5)))=IF($B173="Ghana",-3,IF($B173="Ecuador",-5,0))),--(ROW($B$135:$B$182)&lt;ROW(B173))),"")</f>
        <v/>
      </c>
      <c r="N173" s="61" t="str">
        <f t="shared" si="18"/>
        <v>Yes</v>
      </c>
    </row>
    <row r="174" spans="1:14" ht="15" customHeight="1">
      <c r="A174" s="59" t="s">
        <v>208</v>
      </c>
      <c r="B174" s="60" t="s">
        <v>212</v>
      </c>
      <c r="C174" s="56">
        <f t="shared" si="9"/>
        <v>3</v>
      </c>
      <c r="D174" s="56">
        <f t="shared" si="10"/>
        <v>0</v>
      </c>
      <c r="E174" s="56">
        <f t="shared" si="11"/>
        <v>0</v>
      </c>
      <c r="F174" s="56">
        <f t="shared" si="12"/>
        <v>3</v>
      </c>
      <c r="G174" s="56">
        <f t="shared" si="13"/>
        <v>3</v>
      </c>
      <c r="H174" s="56">
        <f t="shared" si="14"/>
        <v>8</v>
      </c>
      <c r="I174" s="56">
        <f t="shared" si="15"/>
        <v>-5</v>
      </c>
      <c r="J174" s="56">
        <f t="shared" si="16"/>
        <v>0</v>
      </c>
      <c r="K174" s="56">
        <f t="shared" si="17"/>
        <v>-4997</v>
      </c>
      <c r="L174" s="61">
        <f>1+SUMPRODUCT(--($A$171:$A$174=$A174),--($K$171:$K$174&gt;K174))+SUMPRODUCT(--($A$171:$A$174=$A174),--($K$171:$K$174=K174),--(ROW($B$171:$B$174)&lt;ROW(B174)))</f>
        <v>4</v>
      </c>
      <c r="M174" s="61" t="str" cm="1">
        <f t="array" ref="M174">IF(L174=3,1+SUMPRODUCT(--($L$135:$L$182=3),--($K$135:$K$182&gt;K174))+SUMPRODUCT(--($L$135:$L$182=3),--($K$135:$K$182=K174),--(((($B$135:$B$182="Ghana")*(-3)+($B$135:$B$182="Ecuador")*(-5)))&gt;IF($B174="Ghana",-3,IF($B174="Ecuador",-5,0))))+SUMPRODUCT(--($L$135:$L$182=3),--($K$135:$K$182=K174),--(((($B$135:$B$182="Ghana")*(-3)+($B$135:$B$182="Ecuador")*(-5)))=IF($B174="Ghana",-3,IF($B174="Ecuador",-5,0))),--(ROW($B$135:$B$182)&lt;ROW(B174))),"")</f>
        <v/>
      </c>
      <c r="N174" s="61" t="str">
        <f t="shared" si="18"/>
        <v>No</v>
      </c>
    </row>
    <row r="175" spans="1:14" ht="15" customHeight="1">
      <c r="A175" s="59" t="s">
        <v>213</v>
      </c>
      <c r="B175" s="60" t="s">
        <v>214</v>
      </c>
      <c r="C175" s="56">
        <f t="shared" si="9"/>
        <v>3</v>
      </c>
      <c r="D175" s="56">
        <f t="shared" si="10"/>
        <v>2</v>
      </c>
      <c r="E175" s="56">
        <f t="shared" si="11"/>
        <v>1</v>
      </c>
      <c r="F175" s="56">
        <f t="shared" si="12"/>
        <v>0</v>
      </c>
      <c r="G175" s="56">
        <f t="shared" si="13"/>
        <v>4</v>
      </c>
      <c r="H175" s="56">
        <f t="shared" si="14"/>
        <v>1</v>
      </c>
      <c r="I175" s="56">
        <f t="shared" si="15"/>
        <v>3</v>
      </c>
      <c r="J175" s="56">
        <f t="shared" si="16"/>
        <v>7</v>
      </c>
      <c r="K175" s="56">
        <f t="shared" si="17"/>
        <v>7003004</v>
      </c>
      <c r="L175" s="56">
        <f>1+SUMPRODUCT(--($A$175:$A$178=$A175),--($K$175:$K$178&gt;K175))+SUMPRODUCT(--($A$175:$A$178=$A175),--($K$175:$K$178=K175),--(ROW($B$175:$B$178)&lt;ROW(B175)))</f>
        <v>1</v>
      </c>
      <c r="M175" s="56" t="str" cm="1">
        <f t="array" ref="M175">IF(L175=3,1+SUMPRODUCT(--($L$135:$L$182=3),--($K$135:$K$182&gt;K175))+SUMPRODUCT(--($L$135:$L$182=3),--($K$135:$K$182=K175),--(((($B$135:$B$182="Ghana")*(-3)+($B$135:$B$182="Ecuador")*(-5)))&gt;IF($B175="Ghana",-3,IF($B175="Ecuador",-5,0))))+SUMPRODUCT(--($L$135:$L$182=3),--($K$135:$K$182=K175),--(((($B$135:$B$182="Ghana")*(-3)+($B$135:$B$182="Ecuador")*(-5)))=IF($B175="Ghana",-3,IF($B175="Ecuador",-5,0))),--(ROW($B$135:$B$182)&lt;ROW(B175))),"")</f>
        <v/>
      </c>
      <c r="N175" s="56" t="str">
        <f t="shared" si="18"/>
        <v>Yes</v>
      </c>
    </row>
    <row r="176" spans="1:14" ht="15" customHeight="1">
      <c r="A176" s="59" t="s">
        <v>213</v>
      </c>
      <c r="B176" s="60" t="s">
        <v>215</v>
      </c>
      <c r="C176" s="56">
        <f t="shared" si="9"/>
        <v>3</v>
      </c>
      <c r="D176" s="56">
        <f t="shared" si="10"/>
        <v>1</v>
      </c>
      <c r="E176" s="56">
        <f t="shared" si="11"/>
        <v>2</v>
      </c>
      <c r="F176" s="56">
        <f t="shared" si="12"/>
        <v>0</v>
      </c>
      <c r="G176" s="56">
        <f t="shared" si="13"/>
        <v>6</v>
      </c>
      <c r="H176" s="56">
        <f t="shared" si="14"/>
        <v>1</v>
      </c>
      <c r="I176" s="56">
        <f t="shared" si="15"/>
        <v>5</v>
      </c>
      <c r="J176" s="56">
        <f t="shared" si="16"/>
        <v>5</v>
      </c>
      <c r="K176" s="56">
        <f t="shared" si="17"/>
        <v>5005006</v>
      </c>
      <c r="L176" s="61">
        <f>1+SUMPRODUCT(--($A$175:$A$178=$A176),--($K$175:$K$178&gt;K176))+SUMPRODUCT(--($A$175:$A$178=$A176),--($K$175:$K$178=K176),--(ROW($B$175:$B$178)&lt;ROW(B176)))</f>
        <v>2</v>
      </c>
      <c r="M176" s="61" t="str" cm="1">
        <f t="array" ref="M176">IF(L176=3,1+SUMPRODUCT(--($L$135:$L$182=3),--($K$135:$K$182&gt;K176))+SUMPRODUCT(--($L$135:$L$182=3),--($K$135:$K$182=K176),--(((($B$135:$B$182="Ghana")*(-3)+($B$135:$B$182="Ecuador")*(-5)))&gt;IF($B176="Ghana",-3,IF($B176="Ecuador",-5,0))))+SUMPRODUCT(--($L$135:$L$182=3),--($K$135:$K$182=K176),--(((($B$135:$B$182="Ghana")*(-3)+($B$135:$B$182="Ecuador")*(-5)))=IF($B176="Ghana",-3,IF($B176="Ecuador",-5,0))),--(ROW($B$135:$B$182)&lt;ROW(B176))),"")</f>
        <v/>
      </c>
      <c r="N176" s="61" t="str">
        <f t="shared" si="18"/>
        <v>Yes</v>
      </c>
    </row>
    <row r="177" spans="1:14" ht="15" customHeight="1">
      <c r="A177" s="59" t="s">
        <v>213</v>
      </c>
      <c r="B177" s="60" t="s">
        <v>216</v>
      </c>
      <c r="C177" s="56">
        <f t="shared" si="9"/>
        <v>3</v>
      </c>
      <c r="D177" s="56">
        <f t="shared" si="10"/>
        <v>0</v>
      </c>
      <c r="E177" s="56">
        <f t="shared" si="11"/>
        <v>0</v>
      </c>
      <c r="F177" s="56">
        <f t="shared" si="12"/>
        <v>3</v>
      </c>
      <c r="G177" s="56">
        <f t="shared" si="13"/>
        <v>2</v>
      </c>
      <c r="H177" s="56">
        <f t="shared" si="14"/>
        <v>11</v>
      </c>
      <c r="I177" s="56">
        <f t="shared" si="15"/>
        <v>-9</v>
      </c>
      <c r="J177" s="56">
        <f t="shared" si="16"/>
        <v>0</v>
      </c>
      <c r="K177" s="56">
        <f t="shared" si="17"/>
        <v>-8998</v>
      </c>
      <c r="L177" s="61">
        <f>1+SUMPRODUCT(--($A$175:$A$178=$A177),--($K$175:$K$178&gt;K177))+SUMPRODUCT(--($A$175:$A$178=$A177),--($K$175:$K$178=K177),--(ROW($B$175:$B$178)&lt;ROW(B177)))</f>
        <v>4</v>
      </c>
      <c r="M177" s="61" t="str" cm="1">
        <f t="array" ref="M177">IF(L177=3,1+SUMPRODUCT(--($L$135:$L$182=3),--($K$135:$K$182&gt;K177))+SUMPRODUCT(--($L$135:$L$182=3),--($K$135:$K$182=K177),--(((($B$135:$B$182="Ghana")*(-3)+($B$135:$B$182="Ecuador")*(-5)))&gt;IF($B177="Ghana",-3,IF($B177="Ecuador",-5,0))))+SUMPRODUCT(--($L$135:$L$182=3),--($K$135:$K$182=K177),--(((($B$135:$B$182="Ghana")*(-3)+($B$135:$B$182="Ecuador")*(-5)))=IF($B177="Ghana",-3,IF($B177="Ecuador",-5,0))),--(ROW($B$135:$B$182)&lt;ROW(B177))),"")</f>
        <v/>
      </c>
      <c r="N177" s="61" t="str">
        <f t="shared" si="18"/>
        <v>No</v>
      </c>
    </row>
    <row r="178" spans="1:14" ht="15" customHeight="1">
      <c r="A178" s="59" t="s">
        <v>213</v>
      </c>
      <c r="B178" s="60" t="s">
        <v>217</v>
      </c>
      <c r="C178" s="56">
        <f t="shared" si="9"/>
        <v>3</v>
      </c>
      <c r="D178" s="56">
        <f t="shared" si="10"/>
        <v>1</v>
      </c>
      <c r="E178" s="56">
        <f t="shared" si="11"/>
        <v>1</v>
      </c>
      <c r="F178" s="56">
        <f t="shared" si="12"/>
        <v>1</v>
      </c>
      <c r="G178" s="56">
        <f t="shared" si="13"/>
        <v>4</v>
      </c>
      <c r="H178" s="56">
        <f t="shared" si="14"/>
        <v>3</v>
      </c>
      <c r="I178" s="56">
        <f t="shared" si="15"/>
        <v>1</v>
      </c>
      <c r="J178" s="56">
        <f t="shared" si="16"/>
        <v>4</v>
      </c>
      <c r="K178" s="56">
        <f t="shared" si="17"/>
        <v>4001004</v>
      </c>
      <c r="L178" s="61">
        <f>1+SUMPRODUCT(--($A$175:$A$178=$A178),--($K$175:$K$178&gt;K178))+SUMPRODUCT(--($A$175:$A$178=$A178),--($K$175:$K$178=K178),--(ROW($B$175:$B$178)&lt;ROW(B178)))</f>
        <v>3</v>
      </c>
      <c r="M178" s="61" cm="1">
        <f t="array" ref="M178">IF(L178=3,1+SUMPRODUCT(--($L$135:$L$182=3),--($K$135:$K$182&gt;K178))+SUMPRODUCT(--($L$135:$L$182=3),--($K$135:$K$182=K178),--(((($B$135:$B$182="Ghana")*(-3)+($B$135:$B$182="Ecuador")*(-5)))&gt;IF($B178="Ghana",-3,IF($B178="Ecuador",-5,0))))+SUMPRODUCT(--($L$135:$L$182=3),--($K$135:$K$182=K178),--(((($B$135:$B$182="Ghana")*(-3)+($B$135:$B$182="Ecuador")*(-5)))=IF($B178="Ghana",-3,IF($B178="Ecuador",-5,0))),--(ROW($B$135:$B$182)&lt;ROW(B178))),"")</f>
        <v>1</v>
      </c>
      <c r="N178" s="61" t="str">
        <f t="shared" si="18"/>
        <v>Yes</v>
      </c>
    </row>
    <row r="179" spans="1:14" ht="15" customHeight="1">
      <c r="A179" s="59" t="s">
        <v>218</v>
      </c>
      <c r="B179" s="60" t="s">
        <v>219</v>
      </c>
      <c r="C179" s="56">
        <f t="shared" si="9"/>
        <v>3</v>
      </c>
      <c r="D179" s="56">
        <f t="shared" si="10"/>
        <v>2</v>
      </c>
      <c r="E179" s="56">
        <f t="shared" si="11"/>
        <v>1</v>
      </c>
      <c r="F179" s="56">
        <f t="shared" si="12"/>
        <v>0</v>
      </c>
      <c r="G179" s="56">
        <f t="shared" si="13"/>
        <v>6</v>
      </c>
      <c r="H179" s="56">
        <f t="shared" si="14"/>
        <v>2</v>
      </c>
      <c r="I179" s="56">
        <f t="shared" si="15"/>
        <v>4</v>
      </c>
      <c r="J179" s="56">
        <f t="shared" si="16"/>
        <v>7</v>
      </c>
      <c r="K179" s="56">
        <f t="shared" si="17"/>
        <v>7004006</v>
      </c>
      <c r="L179" s="56">
        <f>1+SUMPRODUCT(--($A$179:$A$182=$A179),--($K$179:$K$182&gt;K179))+SUMPRODUCT(--($A$179:$A$182=$A179),--($K$179:$K$182=K179),--(ROW($B$179:$B$182)&lt;ROW(B179)))</f>
        <v>1</v>
      </c>
      <c r="M179" s="56" t="str" cm="1">
        <f t="array" ref="M179">IF(L179=3,1+SUMPRODUCT(--($L$135:$L$182=3),--($K$135:$K$182&gt;K179))+SUMPRODUCT(--($L$135:$L$182=3),--($K$135:$K$182=K179),--(((($B$135:$B$182="Ghana")*(-3)+($B$135:$B$182="Ecuador")*(-5)))&gt;IF($B179="Ghana",-3,IF($B179="Ecuador",-5,0))))+SUMPRODUCT(--($L$135:$L$182=3),--($K$135:$K$182=K179),--(((($B$135:$B$182="Ghana")*(-3)+($B$135:$B$182="Ecuador")*(-5)))=IF($B179="Ghana",-3,IF($B179="Ecuador",-5,0))),--(ROW($B$135:$B$182)&lt;ROW(B179))),"")</f>
        <v/>
      </c>
      <c r="N179" s="56" t="str">
        <f t="shared" si="18"/>
        <v>Yes</v>
      </c>
    </row>
    <row r="180" spans="1:14" ht="15" customHeight="1">
      <c r="A180" s="59" t="s">
        <v>218</v>
      </c>
      <c r="B180" s="60" t="s">
        <v>220</v>
      </c>
      <c r="C180" s="56">
        <f t="shared" si="9"/>
        <v>3</v>
      </c>
      <c r="D180" s="56">
        <f t="shared" si="10"/>
        <v>2</v>
      </c>
      <c r="E180" s="56">
        <f t="shared" si="11"/>
        <v>0</v>
      </c>
      <c r="F180" s="56">
        <f t="shared" si="12"/>
        <v>1</v>
      </c>
      <c r="G180" s="56">
        <f t="shared" si="13"/>
        <v>5</v>
      </c>
      <c r="H180" s="56">
        <f t="shared" si="14"/>
        <v>5</v>
      </c>
      <c r="I180" s="56">
        <f t="shared" si="15"/>
        <v>0</v>
      </c>
      <c r="J180" s="56">
        <f t="shared" si="16"/>
        <v>6</v>
      </c>
      <c r="K180" s="56">
        <f t="shared" si="17"/>
        <v>6000005</v>
      </c>
      <c r="L180" s="61">
        <f>1+SUMPRODUCT(--($A$179:$A$182=$A180),--($K$179:$K$182&gt;K180))+SUMPRODUCT(--($A$179:$A$182=$A180),--($K$179:$K$182=K180),--(ROW($B$179:$B$182)&lt;ROW(B180)))</f>
        <v>2</v>
      </c>
      <c r="M180" s="61" t="str" cm="1">
        <f t="array" ref="M180">IF(L180=3,1+SUMPRODUCT(--($L$135:$L$182=3),--($K$135:$K$182&gt;K180))+SUMPRODUCT(--($L$135:$L$182=3),--($K$135:$K$182=K180),--(((($B$135:$B$182="Ghana")*(-3)+($B$135:$B$182="Ecuador")*(-5)))&gt;IF($B180="Ghana",-3,IF($B180="Ecuador",-5,0))))+SUMPRODUCT(--($L$135:$L$182=3),--($K$135:$K$182=K180),--(((($B$135:$B$182="Ghana")*(-3)+($B$135:$B$182="Ecuador")*(-5)))=IF($B180="Ghana",-3,IF($B180="Ecuador",-5,0))),--(ROW($B$135:$B$182)&lt;ROW(B180))),"")</f>
        <v/>
      </c>
      <c r="N180" s="61" t="str">
        <f t="shared" si="18"/>
        <v>Yes</v>
      </c>
    </row>
    <row r="181" spans="1:14" ht="15" customHeight="1">
      <c r="A181" s="59" t="s">
        <v>218</v>
      </c>
      <c r="B181" s="60" t="s">
        <v>221</v>
      </c>
      <c r="C181" s="56">
        <f t="shared" si="9"/>
        <v>3</v>
      </c>
      <c r="D181" s="56">
        <f t="shared" si="10"/>
        <v>1</v>
      </c>
      <c r="E181" s="56">
        <f t="shared" si="11"/>
        <v>1</v>
      </c>
      <c r="F181" s="56">
        <f t="shared" si="12"/>
        <v>1</v>
      </c>
      <c r="G181" s="56">
        <f t="shared" si="13"/>
        <v>2</v>
      </c>
      <c r="H181" s="56">
        <f t="shared" si="14"/>
        <v>2</v>
      </c>
      <c r="I181" s="56">
        <f t="shared" si="15"/>
        <v>0</v>
      </c>
      <c r="J181" s="56">
        <f t="shared" si="16"/>
        <v>4</v>
      </c>
      <c r="K181" s="56">
        <f t="shared" si="17"/>
        <v>4000002</v>
      </c>
      <c r="L181" s="61">
        <f>1+SUMPRODUCT(--($A$179:$A$182=$A181),--($K$179:$K$182&gt;K181))+SUMPRODUCT(--($A$179:$A$182=$A181),--($K$179:$K$182=K181),--(ROW($B$179:$B$182)&lt;ROW(B181)))</f>
        <v>3</v>
      </c>
      <c r="M181" s="61" cm="1">
        <f t="array" ref="M181">IF(L181=3,1+SUMPRODUCT(--($L$135:$L$182=3),--($K$135:$K$182&gt;K181))+SUMPRODUCT(--($L$135:$L$182=3),--($K$135:$K$182=K181),--(((($B$135:$B$182="Ghana")*(-3)+($B$135:$B$182="Ecuador")*(-5)))&gt;IF($B181="Ghana",-3,IF($B181="Ecuador",-5,0))))+SUMPRODUCT(--($L$135:$L$182=3),--($K$135:$K$182=K181),--(((($B$135:$B$182="Ghana")*(-3)+($B$135:$B$182="Ecuador")*(-5)))=IF($B181="Ghana",-3,IF($B181="Ecuador",-5,0))),--(ROW($B$135:$B$182)&lt;ROW(B181))),"")</f>
        <v>3</v>
      </c>
      <c r="N181" s="61" t="str">
        <f t="shared" si="18"/>
        <v>Yes</v>
      </c>
    </row>
    <row r="182" spans="1:14" ht="15" customHeight="1">
      <c r="A182" s="59" t="s">
        <v>218</v>
      </c>
      <c r="B182" s="60" t="s">
        <v>222</v>
      </c>
      <c r="C182" s="56">
        <f t="shared" si="9"/>
        <v>3</v>
      </c>
      <c r="D182" s="56">
        <f t="shared" si="10"/>
        <v>0</v>
      </c>
      <c r="E182" s="56">
        <f t="shared" si="11"/>
        <v>0</v>
      </c>
      <c r="F182" s="56">
        <f t="shared" si="12"/>
        <v>3</v>
      </c>
      <c r="G182" s="56">
        <f t="shared" si="13"/>
        <v>0</v>
      </c>
      <c r="H182" s="56">
        <f t="shared" si="14"/>
        <v>4</v>
      </c>
      <c r="I182" s="56">
        <f t="shared" si="15"/>
        <v>-4</v>
      </c>
      <c r="J182" s="56">
        <f t="shared" si="16"/>
        <v>0</v>
      </c>
      <c r="K182" s="56">
        <f t="shared" si="17"/>
        <v>-4000</v>
      </c>
      <c r="L182" s="61">
        <f>1+SUMPRODUCT(--($A$179:$A$182=$A182),--($K$179:$K$182&gt;K182))+SUMPRODUCT(--($A$179:$A$182=$A182),--($K$179:$K$182=K182),--(ROW($B$179:$B$182)&lt;ROW(B182)))</f>
        <v>4</v>
      </c>
      <c r="M182" s="61" t="str" cm="1">
        <f t="array" ref="M182">IF(L182=3,1+SUMPRODUCT(--($L$135:$L$182=3),--($K$135:$K$182&gt;K182))+SUMPRODUCT(--($L$135:$L$182=3),--($K$135:$K$182=K182),--(((($B$135:$B$182="Ghana")*(-3)+($B$135:$B$182="Ecuador")*(-5)))&gt;IF($B182="Ghana",-3,IF($B182="Ecuador",-5,0))))+SUMPRODUCT(--($L$135:$L$182=3),--($K$135:$K$182=K182),--(((($B$135:$B$182="Ghana")*(-3)+($B$135:$B$182="Ecuador")*(-5)))=IF($B182="Ghana",-3,IF($B182="Ecuador",-5,0))),--(ROW($B$135:$B$182)&lt;ROW(B182))),"")</f>
        <v/>
      </c>
      <c r="N182" s="61" t="str">
        <f t="shared" si="18"/>
        <v>No</v>
      </c>
    </row>
    <row r="188" spans="1:14" ht="15" customHeight="1">
      <c r="A188" s="163" t="s">
        <v>230</v>
      </c>
      <c r="B188" s="240"/>
      <c r="C188" s="240"/>
      <c r="D188" s="240"/>
      <c r="E188" s="240"/>
      <c r="F188" s="240"/>
      <c r="G188" s="240"/>
      <c r="H188" s="240"/>
      <c r="I188" s="241"/>
    </row>
    <row r="189" spans="1:14" ht="15" customHeight="1">
      <c r="A189" s="58" t="s">
        <v>228</v>
      </c>
      <c r="B189" s="58" t="s">
        <v>146</v>
      </c>
      <c r="C189" s="58" t="s">
        <v>88</v>
      </c>
      <c r="D189" s="58" t="s">
        <v>89</v>
      </c>
      <c r="E189" s="58" t="s">
        <v>90</v>
      </c>
      <c r="F189" s="58" t="s">
        <v>91</v>
      </c>
      <c r="G189" s="58" t="s">
        <v>226</v>
      </c>
      <c r="H189" s="58" t="s">
        <v>231</v>
      </c>
      <c r="I189" s="58" t="s">
        <v>92</v>
      </c>
    </row>
    <row r="190" spans="1:14" ht="15" customHeight="1">
      <c r="A190" s="62">
        <v>1</v>
      </c>
      <c r="B190" s="113" t="str">
        <f t="shared" ref="B190:B201" si="19">IFERROR(INDEX($A$135:$A$182,MATCH($A190,$M$135:$M$182,0)),"")</f>
        <v>K</v>
      </c>
      <c r="C190" s="113" t="str">
        <f t="shared" ref="C190:C201" si="20">IFERROR(INDEX($B$135:$B$182,MATCH($A190,$M$135:$M$182,0)),"")</f>
        <v>Congo DR</v>
      </c>
      <c r="D190" s="113">
        <f t="shared" ref="D190:D201" si="21">IFERROR(INDEX($J$135:$J$182,MATCH($A190,$M$135:$M$182,0)),"")</f>
        <v>4</v>
      </c>
      <c r="E190" s="113">
        <f t="shared" ref="E190:E201" si="22">IFERROR(INDEX($I$135:$I$182,MATCH($A190,$M$135:$M$182,0)),"")</f>
        <v>1</v>
      </c>
      <c r="F190" s="113">
        <f t="shared" ref="F190:F201" si="23">IFERROR(INDEX($G$135:$G$182,MATCH($A190,$M$135:$M$182,0)),"")</f>
        <v>4</v>
      </c>
      <c r="G190" s="113">
        <f t="shared" ref="G190:G201" si="24">IFERROR(INDEX($H$135:$H$182,MATCH($A190,$M$135:$M$182,0)),"")</f>
        <v>3</v>
      </c>
      <c r="H190" s="113">
        <f t="shared" ref="H190:H201" si="25">IFERROR(INDEX($K$135:$K$182,MATCH($A190,$M$135:$M$182,0)),"")</f>
        <v>4001004</v>
      </c>
      <c r="I190" s="113" t="str">
        <f t="shared" ref="I190:I201" si="26">IF($A190&lt;=8,"Yes","No")</f>
        <v>Yes</v>
      </c>
    </row>
    <row r="191" spans="1:14" ht="15" customHeight="1">
      <c r="A191" s="62">
        <v>2</v>
      </c>
      <c r="B191" s="113" t="str">
        <f t="shared" si="19"/>
        <v>F</v>
      </c>
      <c r="C191" s="113" t="str">
        <f t="shared" si="20"/>
        <v>Sweden</v>
      </c>
      <c r="D191" s="113">
        <f t="shared" si="21"/>
        <v>4</v>
      </c>
      <c r="E191" s="113">
        <f t="shared" si="22"/>
        <v>0</v>
      </c>
      <c r="F191" s="113">
        <f t="shared" si="23"/>
        <v>7</v>
      </c>
      <c r="G191" s="113">
        <f t="shared" si="24"/>
        <v>7</v>
      </c>
      <c r="H191" s="113">
        <f t="shared" si="25"/>
        <v>4000007</v>
      </c>
      <c r="I191" s="113" t="str">
        <f t="shared" si="26"/>
        <v>Yes</v>
      </c>
    </row>
    <row r="192" spans="1:14" ht="15" customHeight="1">
      <c r="A192" s="62">
        <v>3</v>
      </c>
      <c r="B192" s="113" t="str">
        <f t="shared" si="19"/>
        <v>L</v>
      </c>
      <c r="C192" s="113" t="str">
        <f t="shared" si="20"/>
        <v>Ghana</v>
      </c>
      <c r="D192" s="113">
        <f t="shared" si="21"/>
        <v>4</v>
      </c>
      <c r="E192" s="113">
        <f t="shared" si="22"/>
        <v>0</v>
      </c>
      <c r="F192" s="113">
        <f t="shared" si="23"/>
        <v>2</v>
      </c>
      <c r="G192" s="113">
        <f t="shared" si="24"/>
        <v>2</v>
      </c>
      <c r="H192" s="113">
        <f t="shared" si="25"/>
        <v>4000002</v>
      </c>
      <c r="I192" s="113" t="str">
        <f t="shared" si="26"/>
        <v>Yes</v>
      </c>
    </row>
    <row r="193" spans="1:9" ht="15" customHeight="1">
      <c r="A193" s="62">
        <v>4</v>
      </c>
      <c r="B193" s="113" t="str">
        <f t="shared" si="19"/>
        <v>E</v>
      </c>
      <c r="C193" s="113" t="str">
        <f t="shared" si="20"/>
        <v>Ecuador</v>
      </c>
      <c r="D193" s="113">
        <f t="shared" si="21"/>
        <v>4</v>
      </c>
      <c r="E193" s="113">
        <f t="shared" si="22"/>
        <v>0</v>
      </c>
      <c r="F193" s="113">
        <f t="shared" si="23"/>
        <v>2</v>
      </c>
      <c r="G193" s="113">
        <f t="shared" si="24"/>
        <v>2</v>
      </c>
      <c r="H193" s="113">
        <f t="shared" si="25"/>
        <v>4000002</v>
      </c>
      <c r="I193" s="113" t="str">
        <f t="shared" si="26"/>
        <v>Yes</v>
      </c>
    </row>
    <row r="194" spans="1:9" ht="15" customHeight="1">
      <c r="A194" s="62">
        <v>5</v>
      </c>
      <c r="B194" s="113" t="str">
        <f t="shared" si="19"/>
        <v>B</v>
      </c>
      <c r="C194" s="113" t="str">
        <f t="shared" si="20"/>
        <v>Bosnia and Herzegovina</v>
      </c>
      <c r="D194" s="113">
        <f t="shared" si="21"/>
        <v>4</v>
      </c>
      <c r="E194" s="113">
        <f t="shared" si="22"/>
        <v>-1</v>
      </c>
      <c r="F194" s="113">
        <f t="shared" si="23"/>
        <v>5</v>
      </c>
      <c r="G194" s="113">
        <f t="shared" si="24"/>
        <v>6</v>
      </c>
      <c r="H194" s="113">
        <f t="shared" si="25"/>
        <v>3999005</v>
      </c>
      <c r="I194" s="113" t="str">
        <f t="shared" si="26"/>
        <v>Yes</v>
      </c>
    </row>
    <row r="195" spans="1:9" ht="15" customHeight="1">
      <c r="A195" s="62">
        <v>6</v>
      </c>
      <c r="B195" s="113" t="str">
        <f t="shared" si="19"/>
        <v>J</v>
      </c>
      <c r="C195" s="113" t="str">
        <f t="shared" si="20"/>
        <v>Algeria</v>
      </c>
      <c r="D195" s="113">
        <f t="shared" si="21"/>
        <v>4</v>
      </c>
      <c r="E195" s="113">
        <f t="shared" si="22"/>
        <v>-2</v>
      </c>
      <c r="F195" s="113">
        <f t="shared" si="23"/>
        <v>5</v>
      </c>
      <c r="G195" s="113">
        <f t="shared" si="24"/>
        <v>7</v>
      </c>
      <c r="H195" s="113">
        <f t="shared" si="25"/>
        <v>3998005</v>
      </c>
      <c r="I195" s="113" t="str">
        <f t="shared" si="26"/>
        <v>Yes</v>
      </c>
    </row>
    <row r="196" spans="1:9" ht="15" customHeight="1">
      <c r="A196" s="62">
        <v>7</v>
      </c>
      <c r="B196" s="113" t="str">
        <f t="shared" si="19"/>
        <v>D</v>
      </c>
      <c r="C196" s="113" t="str">
        <f t="shared" si="20"/>
        <v>Paraguay</v>
      </c>
      <c r="D196" s="113">
        <f t="shared" si="21"/>
        <v>4</v>
      </c>
      <c r="E196" s="113">
        <f t="shared" si="22"/>
        <v>-2</v>
      </c>
      <c r="F196" s="113">
        <f t="shared" si="23"/>
        <v>2</v>
      </c>
      <c r="G196" s="113">
        <f t="shared" si="24"/>
        <v>4</v>
      </c>
      <c r="H196" s="113">
        <f t="shared" si="25"/>
        <v>3998002</v>
      </c>
      <c r="I196" s="113" t="str">
        <f t="shared" si="26"/>
        <v>Yes</v>
      </c>
    </row>
    <row r="197" spans="1:9" ht="15" customHeight="1">
      <c r="A197" s="62">
        <v>8</v>
      </c>
      <c r="B197" s="113" t="str">
        <f t="shared" si="19"/>
        <v>I</v>
      </c>
      <c r="C197" s="113" t="str">
        <f t="shared" si="20"/>
        <v>Senegal</v>
      </c>
      <c r="D197" s="113">
        <f t="shared" si="21"/>
        <v>3</v>
      </c>
      <c r="E197" s="113">
        <f t="shared" si="22"/>
        <v>2</v>
      </c>
      <c r="F197" s="113">
        <f t="shared" si="23"/>
        <v>8</v>
      </c>
      <c r="G197" s="113">
        <f t="shared" si="24"/>
        <v>6</v>
      </c>
      <c r="H197" s="113">
        <f t="shared" si="25"/>
        <v>3002008</v>
      </c>
      <c r="I197" s="113" t="str">
        <f t="shared" si="26"/>
        <v>Yes</v>
      </c>
    </row>
    <row r="198" spans="1:9" ht="15" customHeight="1">
      <c r="A198" s="62">
        <v>9</v>
      </c>
      <c r="B198" s="56" t="str">
        <f t="shared" si="19"/>
        <v>G</v>
      </c>
      <c r="C198" s="56" t="str">
        <f t="shared" si="20"/>
        <v>IR Iran</v>
      </c>
      <c r="D198" s="56">
        <f t="shared" si="21"/>
        <v>3</v>
      </c>
      <c r="E198" s="56">
        <f t="shared" si="22"/>
        <v>0</v>
      </c>
      <c r="F198" s="56">
        <f t="shared" si="23"/>
        <v>3</v>
      </c>
      <c r="G198" s="56">
        <f t="shared" si="24"/>
        <v>3</v>
      </c>
      <c r="H198" s="56">
        <f t="shared" si="25"/>
        <v>3000003</v>
      </c>
      <c r="I198" s="56" t="str">
        <f t="shared" si="26"/>
        <v>No</v>
      </c>
    </row>
    <row r="199" spans="1:9" ht="15" customHeight="1">
      <c r="A199" s="62">
        <v>10</v>
      </c>
      <c r="B199" s="56" t="str">
        <f t="shared" si="19"/>
        <v>A</v>
      </c>
      <c r="C199" s="56" t="str">
        <f t="shared" si="20"/>
        <v>Korea Republic</v>
      </c>
      <c r="D199" s="56">
        <f t="shared" si="21"/>
        <v>3</v>
      </c>
      <c r="E199" s="56">
        <f t="shared" si="22"/>
        <v>-1</v>
      </c>
      <c r="F199" s="56">
        <f t="shared" si="23"/>
        <v>2</v>
      </c>
      <c r="G199" s="56">
        <f t="shared" si="24"/>
        <v>3</v>
      </c>
      <c r="H199" s="56">
        <f t="shared" si="25"/>
        <v>2999002</v>
      </c>
      <c r="I199" s="56" t="str">
        <f t="shared" si="26"/>
        <v>No</v>
      </c>
    </row>
    <row r="200" spans="1:9" ht="15" customHeight="1">
      <c r="A200" s="62">
        <v>11</v>
      </c>
      <c r="B200" s="56" t="str">
        <f t="shared" si="19"/>
        <v>C</v>
      </c>
      <c r="C200" s="56" t="str">
        <f t="shared" si="20"/>
        <v>Scotland</v>
      </c>
      <c r="D200" s="56">
        <f t="shared" si="21"/>
        <v>3</v>
      </c>
      <c r="E200" s="56">
        <f t="shared" si="22"/>
        <v>-3</v>
      </c>
      <c r="F200" s="56">
        <f t="shared" si="23"/>
        <v>1</v>
      </c>
      <c r="G200" s="56">
        <f t="shared" si="24"/>
        <v>4</v>
      </c>
      <c r="H200" s="56">
        <f t="shared" si="25"/>
        <v>2997001</v>
      </c>
      <c r="I200" s="56" t="str">
        <f t="shared" si="26"/>
        <v>No</v>
      </c>
    </row>
    <row r="201" spans="1:9" ht="15" customHeight="1">
      <c r="A201" s="62">
        <v>12</v>
      </c>
      <c r="B201" s="56" t="str">
        <f t="shared" si="19"/>
        <v>H</v>
      </c>
      <c r="C201" s="56" t="str">
        <f t="shared" si="20"/>
        <v>Uruguay</v>
      </c>
      <c r="D201" s="56">
        <f t="shared" si="21"/>
        <v>2</v>
      </c>
      <c r="E201" s="56">
        <f t="shared" si="22"/>
        <v>-1</v>
      </c>
      <c r="F201" s="56">
        <f t="shared" si="23"/>
        <v>3</v>
      </c>
      <c r="G201" s="56">
        <f t="shared" si="24"/>
        <v>4</v>
      </c>
      <c r="H201" s="56">
        <f t="shared" si="25"/>
        <v>1999003</v>
      </c>
      <c r="I201" s="56" t="str">
        <f t="shared" si="26"/>
        <v>No</v>
      </c>
    </row>
    <row r="205" spans="1:9" ht="15" customHeight="1">
      <c r="A205" s="163" t="s">
        <v>103</v>
      </c>
      <c r="B205" s="240"/>
      <c r="C205" s="240"/>
      <c r="D205" s="240"/>
      <c r="E205" s="240"/>
      <c r="F205" s="241"/>
    </row>
    <row r="206" spans="1:9" ht="15" customHeight="1">
      <c r="A206" s="58" t="s">
        <v>109</v>
      </c>
      <c r="B206" s="58" t="s">
        <v>148</v>
      </c>
      <c r="C206" s="58" t="s">
        <v>149</v>
      </c>
      <c r="D206" s="58" t="s">
        <v>150</v>
      </c>
      <c r="E206" s="58" t="s">
        <v>151</v>
      </c>
      <c r="F206" s="58" t="s">
        <v>110</v>
      </c>
      <c r="G206" s="58" t="s">
        <v>232</v>
      </c>
      <c r="H206" s="58" t="s">
        <v>233</v>
      </c>
    </row>
    <row r="207" spans="1:9" ht="15" customHeight="1">
      <c r="A207" s="56" t="s">
        <v>234</v>
      </c>
      <c r="B207" s="56" t="str">
        <f>IFERROR(INDEX($B$135:$B$138,MATCH(2,$L$135:$L$138,0)),"")</f>
        <v>South Africa</v>
      </c>
      <c r="C207" s="56" t="str">
        <f>IFERROR(INDEX($B$139:$B$142,MATCH(2,$L$139:$L$142,0)),"")</f>
        <v>Canada</v>
      </c>
      <c r="D207" s="100">
        <v>0</v>
      </c>
      <c r="E207" s="100">
        <v>1</v>
      </c>
      <c r="F207" s="56" t="str">
        <f t="shared" ref="F207:F222" si="27">IF(OR(D207="",E207=""),"",IF(D207&gt;E207,B207,IF(E207&gt;D207,C207,IF(AND(G207="",H207=""),"",IF(G207&gt;H207,B207,IF(H207&gt;G207,C207,""))))))</f>
        <v>Canada</v>
      </c>
    </row>
    <row r="208" spans="1:9" ht="15" customHeight="1">
      <c r="A208" s="56" t="s">
        <v>235</v>
      </c>
      <c r="B208" s="56" t="str">
        <f>IFERROR(INDEX($B$143:$B$146,MATCH(1,$L$143:$L$146,0)),"")</f>
        <v>Brazil</v>
      </c>
      <c r="C208" s="56" t="str">
        <f>IFERROR(INDEX($B$155:$B$158,MATCH(2,$L$155:$L$158,0)),"")</f>
        <v>Japan</v>
      </c>
      <c r="D208" s="100">
        <v>2</v>
      </c>
      <c r="E208" s="100">
        <v>1</v>
      </c>
      <c r="F208" s="56" t="str">
        <f t="shared" si="27"/>
        <v>Brazil</v>
      </c>
    </row>
    <row r="209" spans="1:8" ht="15" customHeight="1">
      <c r="A209" s="56" t="s">
        <v>236</v>
      </c>
      <c r="B209" s="56" t="str">
        <f>IFERROR(INDEX($B$151:$B$154,MATCH(1,$L$151:$L$154,0)),"")</f>
        <v>Germany</v>
      </c>
      <c r="C209" s="56" t="str">
        <f>IFERROR(INDEX($C$190:$C$201,7),"")</f>
        <v>Paraguay</v>
      </c>
      <c r="D209" s="100">
        <v>1</v>
      </c>
      <c r="E209" s="100">
        <v>1</v>
      </c>
      <c r="F209" s="56" t="str">
        <f t="shared" si="27"/>
        <v>Paraguay</v>
      </c>
      <c r="G209">
        <v>3</v>
      </c>
      <c r="H209">
        <v>4</v>
      </c>
    </row>
    <row r="210" spans="1:8" ht="15" customHeight="1">
      <c r="A210" s="56" t="s">
        <v>237</v>
      </c>
      <c r="B210" s="56" t="str">
        <f>IFERROR(INDEX($B$155:$B$158,MATCH(1,$L$155:$L$158,0)),"")</f>
        <v>Netherlands</v>
      </c>
      <c r="C210" s="56" t="str">
        <f>IFERROR(INDEX($B$143:$B$146,MATCH(2,$L$143:$L$146,0)),"")</f>
        <v>Morocco</v>
      </c>
      <c r="D210" s="100">
        <v>1</v>
      </c>
      <c r="E210" s="100">
        <v>1</v>
      </c>
      <c r="F210" s="56" t="str">
        <f t="shared" si="27"/>
        <v>Morocco</v>
      </c>
      <c r="G210">
        <v>2</v>
      </c>
      <c r="H210">
        <v>3</v>
      </c>
    </row>
    <row r="211" spans="1:8" ht="15" customHeight="1">
      <c r="A211" s="56" t="s">
        <v>238</v>
      </c>
      <c r="B211" s="56" t="str">
        <f>IFERROR(INDEX($B$151:$B$154,MATCH(2,$L$151:$L$154,0)),"")</f>
        <v>Côte d'Ivoire</v>
      </c>
      <c r="C211" s="56" t="str">
        <f>IFERROR(INDEX($B$167:$B$170,MATCH(2,$L$167:$L$170,0)),"")</f>
        <v>Norway</v>
      </c>
      <c r="D211" s="100">
        <v>1</v>
      </c>
      <c r="E211" s="100">
        <v>2</v>
      </c>
      <c r="F211" s="56" t="str">
        <f t="shared" si="27"/>
        <v>Norway</v>
      </c>
    </row>
    <row r="212" spans="1:8" ht="15" customHeight="1">
      <c r="A212" s="56" t="s">
        <v>239</v>
      </c>
      <c r="B212" s="56" t="str">
        <f>IFERROR(INDEX($B$167:$B$170,MATCH(1,$L$167:$L$170,0)),"")</f>
        <v>France</v>
      </c>
      <c r="C212" s="56" t="str">
        <f>IFERROR(INDEX($C$190:$C$201,2),"")</f>
        <v>Sweden</v>
      </c>
      <c r="D212" s="100">
        <v>3</v>
      </c>
      <c r="E212" s="100">
        <v>0</v>
      </c>
      <c r="F212" s="56" t="str">
        <f t="shared" si="27"/>
        <v>France</v>
      </c>
    </row>
    <row r="213" spans="1:8" ht="15" customHeight="1">
      <c r="A213" s="56" t="s">
        <v>240</v>
      </c>
      <c r="B213" s="56" t="str">
        <f>IFERROR(INDEX($B$135:$B$138,MATCH(1,$L$135:$L$138,0)),"")</f>
        <v>Mexico</v>
      </c>
      <c r="C213" s="56" t="str">
        <f>IFERROR(INDEX($C$190:$C$201,4),"")</f>
        <v>Ecuador</v>
      </c>
      <c r="D213" s="100">
        <v>2</v>
      </c>
      <c r="E213" s="100">
        <v>0</v>
      </c>
      <c r="F213" s="56" t="str">
        <f t="shared" si="27"/>
        <v>Mexico</v>
      </c>
    </row>
    <row r="214" spans="1:8" ht="15" customHeight="1">
      <c r="A214" s="56" t="s">
        <v>241</v>
      </c>
      <c r="B214" s="56" t="str">
        <f>IFERROR(INDEX($B$179:$B$182,MATCH(1,$L$179:$L$182,0)),"")</f>
        <v>England</v>
      </c>
      <c r="C214" s="56" t="str">
        <f>IFERROR(INDEX($C$190:$C$201,1),"")</f>
        <v>Congo DR</v>
      </c>
      <c r="D214" s="100">
        <v>2</v>
      </c>
      <c r="E214" s="100">
        <v>1</v>
      </c>
      <c r="F214" s="56" t="str">
        <f t="shared" si="27"/>
        <v>England</v>
      </c>
    </row>
    <row r="215" spans="1:8" ht="15" customHeight="1">
      <c r="A215" s="56" t="s">
        <v>242</v>
      </c>
      <c r="B215" s="56" t="str">
        <f>IFERROR(INDEX($B$159:$B$162,MATCH(1,$L$159:$L$162,0)),"")</f>
        <v>Belgium</v>
      </c>
      <c r="C215" s="56" t="str">
        <f>IFERROR(INDEX($C$190:$C$201,8),"")</f>
        <v>Senegal</v>
      </c>
      <c r="D215" s="100">
        <v>3</v>
      </c>
      <c r="E215" s="100">
        <v>2</v>
      </c>
      <c r="F215" s="56" t="str">
        <f t="shared" si="27"/>
        <v>Belgium</v>
      </c>
    </row>
    <row r="216" spans="1:8" ht="15" customHeight="1">
      <c r="A216" s="56" t="s">
        <v>243</v>
      </c>
      <c r="B216" s="56" t="str">
        <f>IFERROR(INDEX($B$147:$B$150,MATCH(1,$L$147:$L$150,0)),"")</f>
        <v>United States</v>
      </c>
      <c r="C216" s="56" t="str">
        <f>IFERROR(INDEX($C$190:$C$201,5),"")</f>
        <v>Bosnia and Herzegovina</v>
      </c>
      <c r="D216" s="100">
        <v>2</v>
      </c>
      <c r="E216" s="100">
        <v>0</v>
      </c>
      <c r="F216" s="56" t="str">
        <f t="shared" si="27"/>
        <v>United States</v>
      </c>
    </row>
    <row r="217" spans="1:8" ht="15" customHeight="1">
      <c r="A217" s="56" t="s">
        <v>244</v>
      </c>
      <c r="B217" s="56" t="str">
        <f>IFERROR(INDEX($B$163:$B$166,MATCH(1,$L$163:$L$166,0)),"")</f>
        <v>Spain</v>
      </c>
      <c r="C217" s="56" t="str">
        <f>IFERROR(INDEX($B$171:$B$174,MATCH(2,$L$171:$L$174,0)),"")</f>
        <v>Austria</v>
      </c>
      <c r="D217" s="100">
        <v>3</v>
      </c>
      <c r="E217" s="100">
        <v>0</v>
      </c>
      <c r="F217" s="56" t="str">
        <f t="shared" si="27"/>
        <v>Spain</v>
      </c>
    </row>
    <row r="218" spans="1:8" ht="15" customHeight="1">
      <c r="A218" s="56" t="s">
        <v>245</v>
      </c>
      <c r="B218" s="56" t="str">
        <f>IFERROR(INDEX($B$175:$B$178,MATCH(2,$L$175:$L$178,0)),"")</f>
        <v>Portugal</v>
      </c>
      <c r="C218" s="56" t="str">
        <f>IFERROR(INDEX($B$179:$B$182,MATCH(2,$L$179:$L$182,0)),"")</f>
        <v>Croatia</v>
      </c>
      <c r="D218" s="100">
        <v>2</v>
      </c>
      <c r="E218" s="100">
        <v>1</v>
      </c>
      <c r="F218" s="56" t="str">
        <f t="shared" si="27"/>
        <v>Portugal</v>
      </c>
    </row>
    <row r="219" spans="1:8" ht="15" customHeight="1">
      <c r="A219" s="56" t="s">
        <v>246</v>
      </c>
      <c r="B219" s="56" t="str">
        <f>IFERROR(INDEX($B$139:$B$142,MATCH(1,$L$139:$L$142,0)),"")</f>
        <v>Switzerland</v>
      </c>
      <c r="C219" s="56" t="str">
        <f>IFERROR(INDEX($C$190:$C$201,6),"")</f>
        <v>Algeria</v>
      </c>
      <c r="D219" s="100">
        <v>2</v>
      </c>
      <c r="E219" s="100">
        <v>0</v>
      </c>
      <c r="F219" s="56" t="str">
        <f t="shared" si="27"/>
        <v>Switzerland</v>
      </c>
    </row>
    <row r="220" spans="1:8" ht="15" customHeight="1">
      <c r="A220" s="56" t="s">
        <v>247</v>
      </c>
      <c r="B220" s="56" t="str">
        <f>IFERROR(INDEX($B$147:$B$150,MATCH(2,$L$147:$L$150,0)),"")</f>
        <v>Australia</v>
      </c>
      <c r="C220" s="56" t="str">
        <f>IFERROR(INDEX($B$159:$B$162,MATCH(2,$L$159:$L$162,0)),"")</f>
        <v>Egypt</v>
      </c>
      <c r="D220" s="100">
        <v>1</v>
      </c>
      <c r="E220" s="100">
        <v>1</v>
      </c>
      <c r="F220" s="56" t="str">
        <f t="shared" si="27"/>
        <v>Egypt</v>
      </c>
      <c r="G220">
        <v>2</v>
      </c>
      <c r="H220">
        <v>4</v>
      </c>
    </row>
    <row r="221" spans="1:8" ht="15" customHeight="1">
      <c r="A221" s="56" t="s">
        <v>248</v>
      </c>
      <c r="B221" s="56" t="str">
        <f>IFERROR(INDEX($B$171:$B$174,MATCH(1,$L$171:$L$174,0)),"")</f>
        <v>Argentina</v>
      </c>
      <c r="C221" s="56" t="str">
        <f>IFERROR(INDEX($B$163:$B$166,MATCH(2,$L$163:$L$166,0)),"")</f>
        <v>Cabo Verde</v>
      </c>
      <c r="D221" s="100">
        <v>3</v>
      </c>
      <c r="E221" s="100">
        <v>2</v>
      </c>
      <c r="F221" s="56" t="str">
        <f t="shared" si="27"/>
        <v>Argentina</v>
      </c>
    </row>
    <row r="222" spans="1:8" ht="15" customHeight="1">
      <c r="A222" s="56" t="s">
        <v>249</v>
      </c>
      <c r="B222" s="56" t="str">
        <f>IFERROR(INDEX($B$175:$B$178,MATCH(1,$L$175:$L$178,0)),"")</f>
        <v>Colombia</v>
      </c>
      <c r="C222" s="56" t="str">
        <f>IFERROR(INDEX($C$190:$C$201,3),"")</f>
        <v>Ghana</v>
      </c>
      <c r="D222" s="100">
        <v>1</v>
      </c>
      <c r="E222" s="100">
        <v>0</v>
      </c>
      <c r="F222" s="56" t="str">
        <f>IF(OR(D222="",E222=""),"",IF(D222&gt;E222,B222,IF(E222&gt;D222,C222,IF(AND(G222="",H222=""),"",IF(G222&gt;H222,B222,IF(H222&gt;G222,C222,""))))))</f>
        <v>Colombia</v>
      </c>
    </row>
    <row r="225" spans="1:8" ht="15" customHeight="1">
      <c r="A225" s="163" t="s">
        <v>104</v>
      </c>
      <c r="B225" s="240"/>
      <c r="C225" s="240"/>
      <c r="D225" s="240"/>
      <c r="E225" s="240"/>
      <c r="F225" s="241"/>
    </row>
    <row r="226" spans="1:8" ht="15" customHeight="1">
      <c r="A226" s="58" t="s">
        <v>109</v>
      </c>
      <c r="B226" s="58" t="s">
        <v>148</v>
      </c>
      <c r="C226" s="58" t="s">
        <v>149</v>
      </c>
      <c r="D226" s="58" t="s">
        <v>150</v>
      </c>
      <c r="E226" s="58" t="s">
        <v>151</v>
      </c>
      <c r="F226" s="58" t="s">
        <v>110</v>
      </c>
      <c r="G226" s="58" t="s">
        <v>232</v>
      </c>
      <c r="H226" s="58" t="s">
        <v>233</v>
      </c>
    </row>
    <row r="227" spans="1:8" ht="15" customHeight="1">
      <c r="A227" s="56" t="s">
        <v>250</v>
      </c>
      <c r="B227" s="56" t="str">
        <f>F209</f>
        <v>Paraguay</v>
      </c>
      <c r="C227" s="56" t="str">
        <f>F212</f>
        <v>France</v>
      </c>
      <c r="D227" s="100">
        <v>0</v>
      </c>
      <c r="E227" s="100">
        <v>1</v>
      </c>
      <c r="F227" s="56" t="str">
        <f t="shared" ref="F227:F234" si="28">IF(OR(D227="",E227=""),"",IF(D227&gt;E227,B227,IF(E227&gt;D227,C227,IF(AND(G227="",H227=""),"",IF(G227&gt;H227,B227,IF(H227&gt;G227,C227,""))))))</f>
        <v>France</v>
      </c>
    </row>
    <row r="228" spans="1:8" ht="15" customHeight="1">
      <c r="A228" s="56" t="s">
        <v>251</v>
      </c>
      <c r="B228" s="56" t="str">
        <f>F207</f>
        <v>Canada</v>
      </c>
      <c r="C228" s="56" t="str">
        <f>F210</f>
        <v>Morocco</v>
      </c>
      <c r="D228" s="100">
        <v>0</v>
      </c>
      <c r="E228" s="100">
        <v>3</v>
      </c>
      <c r="F228" s="56" t="str">
        <f t="shared" si="28"/>
        <v>Morocco</v>
      </c>
    </row>
    <row r="229" spans="1:8" ht="15" customHeight="1">
      <c r="A229" s="56" t="s">
        <v>252</v>
      </c>
      <c r="B229" s="56" t="str">
        <f>F218</f>
        <v>Portugal</v>
      </c>
      <c r="C229" s="56" t="str">
        <f>F217</f>
        <v>Spain</v>
      </c>
      <c r="D229" s="100"/>
      <c r="E229" s="100"/>
      <c r="F229" s="56" t="str">
        <f t="shared" si="28"/>
        <v/>
      </c>
    </row>
    <row r="230" spans="1:8" ht="15" customHeight="1">
      <c r="A230" s="56" t="s">
        <v>253</v>
      </c>
      <c r="B230" s="56" t="str">
        <f>F216</f>
        <v>United States</v>
      </c>
      <c r="C230" s="56" t="str">
        <f>F215</f>
        <v>Belgium</v>
      </c>
      <c r="D230" s="100"/>
      <c r="E230" s="100"/>
      <c r="F230" s="56" t="str">
        <f t="shared" si="28"/>
        <v/>
      </c>
    </row>
    <row r="231" spans="1:8" ht="15" customHeight="1">
      <c r="A231" s="56" t="s">
        <v>254</v>
      </c>
      <c r="B231" s="56" t="str">
        <f>F208</f>
        <v>Brazil</v>
      </c>
      <c r="C231" s="56" t="str">
        <f>F211</f>
        <v>Norway</v>
      </c>
      <c r="D231" s="100">
        <v>1</v>
      </c>
      <c r="E231" s="100">
        <v>2</v>
      </c>
      <c r="F231" s="56" t="str">
        <f t="shared" si="28"/>
        <v>Norway</v>
      </c>
    </row>
    <row r="232" spans="1:8" ht="15" customHeight="1">
      <c r="A232" s="56" t="s">
        <v>255</v>
      </c>
      <c r="B232" s="56" t="str">
        <f>F213</f>
        <v>Mexico</v>
      </c>
      <c r="C232" s="56" t="str">
        <f>F214</f>
        <v>England</v>
      </c>
      <c r="D232" s="100">
        <v>2</v>
      </c>
      <c r="E232" s="100">
        <v>3</v>
      </c>
      <c r="F232" s="56" t="str">
        <f t="shared" si="28"/>
        <v>England</v>
      </c>
    </row>
    <row r="233" spans="1:8" ht="15" customHeight="1">
      <c r="A233" s="56" t="s">
        <v>256</v>
      </c>
      <c r="B233" s="56" t="str">
        <f>F221</f>
        <v>Argentina</v>
      </c>
      <c r="C233" s="56" t="str">
        <f>F220</f>
        <v>Egypt</v>
      </c>
      <c r="D233" s="100"/>
      <c r="E233" s="100"/>
      <c r="F233" s="56" t="str">
        <f t="shared" si="28"/>
        <v/>
      </c>
    </row>
    <row r="234" spans="1:8" ht="15" customHeight="1">
      <c r="A234" s="56" t="s">
        <v>257</v>
      </c>
      <c r="B234" s="56" t="str">
        <f>F219</f>
        <v>Switzerland</v>
      </c>
      <c r="C234" s="56" t="str">
        <f>F222</f>
        <v>Colombia</v>
      </c>
      <c r="D234" s="100"/>
      <c r="E234" s="100"/>
      <c r="F234" s="56" t="str">
        <f t="shared" si="28"/>
        <v/>
      </c>
    </row>
    <row r="237" spans="1:8" ht="15" customHeight="1">
      <c r="A237" s="163" t="s">
        <v>105</v>
      </c>
      <c r="B237" s="240"/>
      <c r="C237" s="240"/>
      <c r="D237" s="240"/>
      <c r="E237" s="240"/>
      <c r="F237" s="241"/>
    </row>
    <row r="238" spans="1:8" ht="15" customHeight="1">
      <c r="A238" s="58" t="s">
        <v>109</v>
      </c>
      <c r="B238" s="58" t="s">
        <v>148</v>
      </c>
      <c r="C238" s="58" t="s">
        <v>149</v>
      </c>
      <c r="D238" s="58" t="s">
        <v>150</v>
      </c>
      <c r="E238" s="58" t="s">
        <v>151</v>
      </c>
      <c r="F238" s="58" t="s">
        <v>110</v>
      </c>
      <c r="G238" s="58" t="s">
        <v>232</v>
      </c>
      <c r="H238" s="58" t="s">
        <v>233</v>
      </c>
    </row>
    <row r="239" spans="1:8" ht="15" customHeight="1">
      <c r="A239" s="56" t="s">
        <v>258</v>
      </c>
      <c r="B239" s="56" t="str">
        <f>F227</f>
        <v>France</v>
      </c>
      <c r="C239" s="56" t="str">
        <f>F228</f>
        <v>Morocco</v>
      </c>
      <c r="D239" s="100"/>
      <c r="E239" s="100"/>
      <c r="F239" s="56" t="str">
        <f>IF(OR(D239="",E239=""),"",IF(D239&gt;E239,B239,IF(E239&gt;D239,C239,IF(AND(G239="",H239=""),"",IF(G239&gt;H239,B239,IF(H239&gt;G239,C239,""))))))</f>
        <v/>
      </c>
    </row>
    <row r="240" spans="1:8" ht="15" customHeight="1">
      <c r="A240" s="56" t="s">
        <v>259</v>
      </c>
      <c r="B240" s="56" t="str">
        <f>F229</f>
        <v/>
      </c>
      <c r="C240" s="56" t="str">
        <f>F230</f>
        <v/>
      </c>
      <c r="D240" s="100"/>
      <c r="E240" s="100"/>
      <c r="F240" s="56" t="str">
        <f>IF(OR(D240="",E240=""),"",IF(D240&gt;E240,B240,IF(E240&gt;D240,C240,IF(AND(G240="",H240=""),"",IF(G240&gt;H240,B240,IF(H240&gt;G240,C240,""))))))</f>
        <v/>
      </c>
    </row>
    <row r="241" spans="1:8" ht="15" customHeight="1">
      <c r="A241" s="56" t="s">
        <v>260</v>
      </c>
      <c r="B241" s="56" t="str">
        <f>F231</f>
        <v>Norway</v>
      </c>
      <c r="C241" s="56" t="str">
        <f>F232</f>
        <v>England</v>
      </c>
      <c r="D241" s="100"/>
      <c r="E241" s="100"/>
      <c r="F241" s="56" t="str">
        <f>IF(OR(D241="",E241=""),"",IF(D241&gt;E241,B241,IF(E241&gt;D241,C241,IF(AND(G241="",H241=""),"",IF(G241&gt;H241,B241,IF(H241&gt;G241,C241,""))))))</f>
        <v/>
      </c>
    </row>
    <row r="242" spans="1:8" ht="15" customHeight="1">
      <c r="A242" s="56" t="s">
        <v>261</v>
      </c>
      <c r="B242" s="56" t="str">
        <f>F233</f>
        <v/>
      </c>
      <c r="C242" s="56" t="str">
        <f>F234</f>
        <v/>
      </c>
      <c r="D242" s="100"/>
      <c r="E242" s="100"/>
      <c r="F242" s="56" t="str">
        <f>IF(OR(D242="",E242=""),"",IF(D242&gt;E242,B242,IF(E242&gt;D242,C242,IF(AND(G242="",H242=""),"",IF(G242&gt;H242,B242,IF(H242&gt;G242,C242,""))))))</f>
        <v/>
      </c>
    </row>
    <row r="245" spans="1:8" ht="15" customHeight="1">
      <c r="A245" s="163" t="s">
        <v>106</v>
      </c>
      <c r="B245" s="240"/>
      <c r="C245" s="240"/>
      <c r="D245" s="240"/>
      <c r="E245" s="240"/>
      <c r="F245" s="241"/>
    </row>
    <row r="246" spans="1:8" ht="15" customHeight="1">
      <c r="A246" s="58" t="s">
        <v>109</v>
      </c>
      <c r="B246" s="58" t="s">
        <v>148</v>
      </c>
      <c r="C246" s="58" t="s">
        <v>149</v>
      </c>
      <c r="D246" s="58" t="s">
        <v>150</v>
      </c>
      <c r="E246" s="58" t="s">
        <v>151</v>
      </c>
      <c r="F246" s="58" t="s">
        <v>110</v>
      </c>
      <c r="G246" s="58" t="s">
        <v>232</v>
      </c>
      <c r="H246" s="58" t="s">
        <v>233</v>
      </c>
    </row>
    <row r="247" spans="1:8" ht="15" customHeight="1">
      <c r="A247" s="56" t="s">
        <v>262</v>
      </c>
      <c r="B247" s="56" t="str">
        <f>F239</f>
        <v/>
      </c>
      <c r="C247" s="56" t="str">
        <f>F240</f>
        <v/>
      </c>
      <c r="D247" s="100"/>
      <c r="E247" s="100"/>
      <c r="F247" s="56" t="str">
        <f>IF(OR(D247="",E247=""),"",IF(D247&gt;E247,B247,IF(E247&gt;D247,C247,IF(AND(G247="",H247=""),"",IF(G247&gt;H247,B247,IF(H247&gt;G247,C247,""))))))</f>
        <v/>
      </c>
    </row>
    <row r="248" spans="1:8" ht="15" customHeight="1">
      <c r="A248" s="56" t="s">
        <v>263</v>
      </c>
      <c r="B248" s="56" t="str">
        <f>F241</f>
        <v/>
      </c>
      <c r="C248" s="56" t="str">
        <f>F242</f>
        <v/>
      </c>
      <c r="D248" s="100"/>
      <c r="E248" s="100"/>
      <c r="F248" s="56" t="str">
        <f>IF(OR(D248="",E248=""),"",IF(D248&gt;E248,B248,IF(E248&gt;D248,C248,IF(AND(G248="",H248=""),"",IF(G248&gt;H248,B248,IF(H248&gt;G248,C248,""))))))</f>
        <v/>
      </c>
    </row>
    <row r="251" spans="1:8" ht="15" customHeight="1">
      <c r="A251" s="163" t="s">
        <v>107</v>
      </c>
      <c r="B251" s="240"/>
      <c r="C251" s="240"/>
      <c r="D251" s="240"/>
      <c r="E251" s="240"/>
      <c r="F251" s="241"/>
    </row>
    <row r="252" spans="1:8" ht="15" customHeight="1">
      <c r="A252" s="58" t="s">
        <v>109</v>
      </c>
      <c r="B252" s="58" t="s">
        <v>148</v>
      </c>
      <c r="C252" s="58" t="s">
        <v>149</v>
      </c>
      <c r="D252" s="58" t="s">
        <v>150</v>
      </c>
      <c r="E252" s="58" t="s">
        <v>151</v>
      </c>
      <c r="F252" s="58" t="s">
        <v>110</v>
      </c>
      <c r="G252" s="58" t="s">
        <v>232</v>
      </c>
      <c r="H252" s="58" t="s">
        <v>233</v>
      </c>
    </row>
    <row r="253" spans="1:8" ht="15" customHeight="1">
      <c r="A253" s="56" t="s">
        <v>264</v>
      </c>
      <c r="B253" s="56" t="str">
        <f>IF(F248="","",IF(F248=B248,C248,B248))</f>
        <v/>
      </c>
      <c r="C253" s="56" t="str">
        <f>IF(F247="","",IF(F247=B247,C247,B247))</f>
        <v/>
      </c>
      <c r="D253" s="100"/>
      <c r="E253" s="100"/>
      <c r="F253" s="56" t="str">
        <f>IF(OR(D253="",E253=""),"",IF(D253&gt;E253,B253,IF(E253&gt;D253,C253,IF(AND(G253="",H253=""),"",IF(G253&gt;H253,B253,IF(H253&gt;G253,C253,""))))))</f>
        <v/>
      </c>
    </row>
    <row r="257" spans="1:9" ht="15" customHeight="1">
      <c r="A257" s="163" t="s">
        <v>108</v>
      </c>
      <c r="B257" s="240"/>
      <c r="C257" s="240"/>
      <c r="D257" s="240"/>
      <c r="E257" s="240"/>
      <c r="F257" s="240"/>
      <c r="G257" s="241"/>
    </row>
    <row r="258" spans="1:9" ht="15" customHeight="1">
      <c r="A258" s="58" t="s">
        <v>111</v>
      </c>
      <c r="B258" s="58" t="s">
        <v>148</v>
      </c>
      <c r="C258" s="58" t="s">
        <v>149</v>
      </c>
      <c r="D258" s="58" t="s">
        <v>150</v>
      </c>
      <c r="E258" s="58" t="s">
        <v>151</v>
      </c>
      <c r="F258" s="58" t="s">
        <v>110</v>
      </c>
      <c r="G258" s="58" t="s">
        <v>122</v>
      </c>
      <c r="H258" s="58" t="s">
        <v>232</v>
      </c>
      <c r="I258" s="58" t="s">
        <v>233</v>
      </c>
    </row>
    <row r="259" spans="1:9" ht="15" customHeight="1">
      <c r="A259" s="56" t="s">
        <v>108</v>
      </c>
      <c r="B259" s="56" t="str">
        <f>F247</f>
        <v/>
      </c>
      <c r="C259" s="56" t="str">
        <f>F248</f>
        <v/>
      </c>
      <c r="D259" s="100"/>
      <c r="E259" s="100"/>
      <c r="F259" s="56" t="str">
        <f>IF(OR(D259="",E259=""),"",IF(D259&gt;E259,B259,IF(E259&gt;D259,C259,IF(AND(G259="",H259=""),"",IF(G259&gt;H259,B259,IF(H259&gt;G259,C259,""))))))</f>
        <v/>
      </c>
      <c r="G259" s="56" t="str">
        <f>IF(F259="","",IF(F259=B259,C259,B259))</f>
        <v/>
      </c>
    </row>
  </sheetData>
  <mergeCells count="30">
    <mergeCell ref="P11:U11"/>
    <mergeCell ref="W3:AB3"/>
    <mergeCell ref="I18:N18"/>
    <mergeCell ref="I3:N3"/>
    <mergeCell ref="W11:AB11"/>
    <mergeCell ref="W4:AB4"/>
    <mergeCell ref="A251:F251"/>
    <mergeCell ref="E38:F38"/>
    <mergeCell ref="Q38:R38"/>
    <mergeCell ref="W18:AB18"/>
    <mergeCell ref="A188:I188"/>
    <mergeCell ref="P18:U18"/>
    <mergeCell ref="A205:F205"/>
    <mergeCell ref="H38:I38"/>
    <mergeCell ref="A1:R2"/>
    <mergeCell ref="A257:G257"/>
    <mergeCell ref="A133:N133"/>
    <mergeCell ref="P3:U3"/>
    <mergeCell ref="A4:R4"/>
    <mergeCell ref="B38:C38"/>
    <mergeCell ref="N38:O38"/>
    <mergeCell ref="A245:F245"/>
    <mergeCell ref="B3:G3"/>
    <mergeCell ref="I11:N11"/>
    <mergeCell ref="A225:F225"/>
    <mergeCell ref="K38:L38"/>
    <mergeCell ref="B18:G18"/>
    <mergeCell ref="A57:J57"/>
    <mergeCell ref="A237:F237"/>
    <mergeCell ref="B11:G11"/>
  </mergeCells>
  <conditionalFormatting sqref="F59:G130">
    <cfRule type="expression" dxfId="1" priority="2">
      <formula>F59&lt;&gt;""</formula>
    </cfRule>
  </conditionalFormatting>
  <conditionalFormatting sqref="N135:N182">
    <cfRule type="expression" dxfId="0" priority="3">
      <formula>N135="Yes"</formula>
    </cfRule>
  </conditionalFormatting>
  <dataValidations count="2">
    <dataValidation type="list" allowBlank="1" sqref="G8 G15 G22 N8 N15 N22 U8 U15 U22 AB8 AB15 AB22" xr:uid="{00000000-0002-0000-0200-000000000000}">
      <formula1>"Yes,No"</formula1>
      <formula2>0</formula2>
    </dataValidation>
    <dataValidation type="whole" allowBlank="1" errorTitle="Invalid score" error="Please enter a whole number between 0 and 20." promptTitle="Enter score" prompt="Type a whole-number score from 0 to 20." sqref="F59:G130" xr:uid="{00000000-0002-0000-0200-000001000000}">
      <formula1>0</formula1>
      <formula2>20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BM25"/>
  <sheetViews>
    <sheetView showGridLines="0" zoomScaleNormal="100" workbookViewId="0">
      <pane xSplit="1" topLeftCell="T1" activePane="topRight" state="frozen"/>
      <selection pane="topRight" activeCell="Y12" sqref="Y12"/>
    </sheetView>
  </sheetViews>
  <sheetFormatPr defaultColWidth="8.7109375" defaultRowHeight="15" customHeight="1"/>
  <cols>
    <col min="1" max="1" width="24.85546875" customWidth="1"/>
    <col min="3" max="5" width="14" customWidth="1"/>
    <col min="6" max="7" width="9" customWidth="1"/>
    <col min="8" max="10" width="14" customWidth="1"/>
    <col min="11" max="12" width="9" customWidth="1"/>
    <col min="13" max="15" width="14" customWidth="1"/>
    <col min="16" max="17" width="9" customWidth="1"/>
    <col min="18" max="20" width="14" customWidth="1"/>
    <col min="21" max="22" width="9" customWidth="1"/>
    <col min="23" max="25" width="14" customWidth="1"/>
    <col min="26" max="27" width="9" customWidth="1"/>
    <col min="28" max="30" width="14" customWidth="1"/>
    <col min="31" max="32" width="9" customWidth="1"/>
    <col min="33" max="35" width="14" customWidth="1"/>
    <col min="36" max="37" width="9" customWidth="1"/>
    <col min="38" max="40" width="14" customWidth="1"/>
    <col min="41" max="42" width="9" customWidth="1"/>
    <col min="43" max="45" width="14" customWidth="1"/>
    <col min="46" max="47" width="9" customWidth="1"/>
    <col min="48" max="50" width="14" customWidth="1"/>
    <col min="51" max="52" width="9" customWidth="1"/>
    <col min="53" max="55" width="14" customWidth="1"/>
    <col min="56" max="57" width="9" customWidth="1"/>
    <col min="58" max="60" width="14" customWidth="1"/>
    <col min="61" max="62" width="9" customWidth="1"/>
    <col min="63" max="65" width="12" customWidth="1"/>
  </cols>
  <sheetData>
    <row r="1" spans="1:65" ht="15" customHeight="1">
      <c r="A1" s="162" t="s">
        <v>265</v>
      </c>
      <c r="B1" s="168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/>
      <c r="AW1" s="232"/>
      <c r="AX1" s="232"/>
      <c r="AY1" s="232"/>
      <c r="AZ1" s="232"/>
      <c r="BA1" s="232"/>
      <c r="BB1" s="232"/>
      <c r="BC1" s="232"/>
      <c r="BD1" s="232"/>
      <c r="BE1" s="232"/>
      <c r="BF1" s="232"/>
      <c r="BG1" s="232"/>
      <c r="BH1" s="232"/>
      <c r="BI1" s="232"/>
      <c r="BJ1" s="232"/>
      <c r="BK1" s="232"/>
      <c r="BL1" s="232"/>
      <c r="BM1" s="233"/>
    </row>
    <row r="2" spans="1:65" ht="15" customHeight="1">
      <c r="A2" s="234"/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  <c r="AP2" s="235"/>
      <c r="AQ2" s="235"/>
      <c r="AR2" s="235"/>
      <c r="AS2" s="235"/>
      <c r="AT2" s="235"/>
      <c r="AU2" s="235"/>
      <c r="AV2" s="235"/>
      <c r="AW2" s="235"/>
      <c r="AX2" s="235"/>
      <c r="AY2" s="235"/>
      <c r="AZ2" s="235"/>
      <c r="BA2" s="235"/>
      <c r="BB2" s="235"/>
      <c r="BC2" s="235"/>
      <c r="BD2" s="235"/>
      <c r="BE2" s="235"/>
      <c r="BF2" s="235"/>
      <c r="BG2" s="235"/>
      <c r="BH2" s="235"/>
      <c r="BI2" s="235"/>
      <c r="BJ2" s="235"/>
      <c r="BK2" s="235"/>
      <c r="BL2" s="235"/>
      <c r="BM2" s="236"/>
    </row>
    <row r="3" spans="1:65" ht="15.6" customHeight="1">
      <c r="C3" s="164" t="s">
        <v>82</v>
      </c>
      <c r="D3" s="237"/>
      <c r="E3" s="237"/>
      <c r="F3" s="237"/>
      <c r="G3" s="238"/>
      <c r="H3" s="164" t="s">
        <v>83</v>
      </c>
      <c r="I3" s="237"/>
      <c r="J3" s="237"/>
      <c r="K3" s="237"/>
      <c r="L3" s="238"/>
      <c r="M3" s="164" t="s">
        <v>84</v>
      </c>
      <c r="N3" s="237"/>
      <c r="O3" s="237"/>
      <c r="P3" s="237"/>
      <c r="Q3" s="238"/>
      <c r="R3" s="164" t="s">
        <v>85</v>
      </c>
      <c r="S3" s="237"/>
      <c r="T3" s="237"/>
      <c r="U3" s="237"/>
      <c r="V3" s="238"/>
      <c r="W3" s="164" t="s">
        <v>94</v>
      </c>
      <c r="X3" s="237"/>
      <c r="Y3" s="237"/>
      <c r="Z3" s="237"/>
      <c r="AA3" s="238"/>
      <c r="AB3" s="164" t="s">
        <v>95</v>
      </c>
      <c r="AC3" s="237"/>
      <c r="AD3" s="237"/>
      <c r="AE3" s="237"/>
      <c r="AF3" s="238"/>
      <c r="AG3" s="164" t="s">
        <v>96</v>
      </c>
      <c r="AH3" s="237"/>
      <c r="AI3" s="237"/>
      <c r="AJ3" s="237"/>
      <c r="AK3" s="238"/>
      <c r="AL3" s="164" t="s">
        <v>97</v>
      </c>
      <c r="AM3" s="237"/>
      <c r="AN3" s="237"/>
      <c r="AO3" s="237"/>
      <c r="AP3" s="238"/>
      <c r="AQ3" s="164" t="s">
        <v>98</v>
      </c>
      <c r="AR3" s="237"/>
      <c r="AS3" s="237"/>
      <c r="AT3" s="237"/>
      <c r="AU3" s="238"/>
      <c r="AV3" s="164" t="s">
        <v>99</v>
      </c>
      <c r="AW3" s="237"/>
      <c r="AX3" s="237"/>
      <c r="AY3" s="237"/>
      <c r="AZ3" s="238"/>
      <c r="BA3" s="164" t="s">
        <v>100</v>
      </c>
      <c r="BB3" s="237"/>
      <c r="BC3" s="237"/>
      <c r="BD3" s="237"/>
      <c r="BE3" s="238"/>
      <c r="BF3" s="164" t="s">
        <v>101</v>
      </c>
      <c r="BG3" s="237"/>
      <c r="BH3" s="237"/>
      <c r="BI3" s="237"/>
      <c r="BJ3" s="238"/>
    </row>
    <row r="4" spans="1:65" ht="15" customHeight="1">
      <c r="A4" s="169" t="s">
        <v>266</v>
      </c>
      <c r="B4" s="170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42"/>
    </row>
    <row r="5" spans="1:65" ht="28.35" customHeight="1">
      <c r="A5" s="63" t="s">
        <v>267</v>
      </c>
      <c r="B5" s="13"/>
      <c r="C5" s="1" t="s">
        <v>268</v>
      </c>
      <c r="D5" s="46" t="s">
        <v>269</v>
      </c>
      <c r="E5" s="46" t="s">
        <v>270</v>
      </c>
      <c r="F5" s="46" t="s">
        <v>89</v>
      </c>
      <c r="G5" s="2" t="s">
        <v>271</v>
      </c>
      <c r="H5" s="1" t="s">
        <v>268</v>
      </c>
      <c r="I5" s="46" t="s">
        <v>269</v>
      </c>
      <c r="J5" s="46" t="s">
        <v>270</v>
      </c>
      <c r="K5" s="46" t="s">
        <v>89</v>
      </c>
      <c r="L5" s="2" t="s">
        <v>271</v>
      </c>
      <c r="M5" s="1" t="s">
        <v>268</v>
      </c>
      <c r="N5" s="46" t="s">
        <v>269</v>
      </c>
      <c r="O5" s="46" t="s">
        <v>270</v>
      </c>
      <c r="P5" s="46" t="s">
        <v>89</v>
      </c>
      <c r="Q5" s="2" t="s">
        <v>271</v>
      </c>
      <c r="R5" s="1" t="s">
        <v>268</v>
      </c>
      <c r="S5" s="46" t="s">
        <v>269</v>
      </c>
      <c r="T5" s="46" t="s">
        <v>270</v>
      </c>
      <c r="U5" s="46" t="s">
        <v>89</v>
      </c>
      <c r="V5" s="2" t="s">
        <v>271</v>
      </c>
      <c r="W5" s="1" t="s">
        <v>268</v>
      </c>
      <c r="X5" s="46" t="s">
        <v>269</v>
      </c>
      <c r="Y5" s="46" t="s">
        <v>270</v>
      </c>
      <c r="Z5" s="46" t="s">
        <v>89</v>
      </c>
      <c r="AA5" s="2" t="s">
        <v>271</v>
      </c>
      <c r="AB5" s="1" t="s">
        <v>268</v>
      </c>
      <c r="AC5" s="46" t="s">
        <v>269</v>
      </c>
      <c r="AD5" s="46" t="s">
        <v>270</v>
      </c>
      <c r="AE5" s="46" t="s">
        <v>89</v>
      </c>
      <c r="AF5" s="2" t="s">
        <v>271</v>
      </c>
      <c r="AG5" s="1" t="s">
        <v>268</v>
      </c>
      <c r="AH5" s="46" t="s">
        <v>269</v>
      </c>
      <c r="AI5" s="46" t="s">
        <v>270</v>
      </c>
      <c r="AJ5" s="46" t="s">
        <v>89</v>
      </c>
      <c r="AK5" s="2" t="s">
        <v>271</v>
      </c>
      <c r="AL5" s="1" t="s">
        <v>268</v>
      </c>
      <c r="AM5" s="46" t="s">
        <v>269</v>
      </c>
      <c r="AN5" s="46" t="s">
        <v>270</v>
      </c>
      <c r="AO5" s="46" t="s">
        <v>89</v>
      </c>
      <c r="AP5" s="2" t="s">
        <v>271</v>
      </c>
      <c r="AQ5" s="1" t="s">
        <v>268</v>
      </c>
      <c r="AR5" s="46" t="s">
        <v>269</v>
      </c>
      <c r="AS5" s="46" t="s">
        <v>270</v>
      </c>
      <c r="AT5" s="46" t="s">
        <v>89</v>
      </c>
      <c r="AU5" s="2" t="s">
        <v>271</v>
      </c>
      <c r="AV5" s="1" t="s">
        <v>268</v>
      </c>
      <c r="AW5" s="46" t="s">
        <v>269</v>
      </c>
      <c r="AX5" s="46" t="s">
        <v>270</v>
      </c>
      <c r="AY5" s="46" t="s">
        <v>89</v>
      </c>
      <c r="AZ5" s="2" t="s">
        <v>271</v>
      </c>
      <c r="BA5" s="1" t="s">
        <v>268</v>
      </c>
      <c r="BB5" s="46" t="s">
        <v>269</v>
      </c>
      <c r="BC5" s="46" t="s">
        <v>270</v>
      </c>
      <c r="BD5" s="46" t="s">
        <v>89</v>
      </c>
      <c r="BE5" s="2" t="s">
        <v>271</v>
      </c>
      <c r="BF5" s="1" t="s">
        <v>268</v>
      </c>
      <c r="BG5" s="46" t="s">
        <v>269</v>
      </c>
      <c r="BH5" s="46" t="s">
        <v>270</v>
      </c>
      <c r="BI5" s="46" t="s">
        <v>89</v>
      </c>
      <c r="BJ5" s="2" t="s">
        <v>271</v>
      </c>
      <c r="BK5" s="64" t="s">
        <v>272</v>
      </c>
      <c r="BL5" s="65" t="s">
        <v>273</v>
      </c>
      <c r="BM5" s="66" t="s">
        <v>274</v>
      </c>
    </row>
    <row r="6" spans="1:65" ht="28.5">
      <c r="A6" s="67" t="str">
        <f>IF(Players!B6="","",Players!B6)</f>
        <v>Febby Yudhi Pratama</v>
      </c>
      <c r="B6" s="85"/>
      <c r="C6" s="101" t="s">
        <v>157</v>
      </c>
      <c r="D6" s="102" t="s">
        <v>160</v>
      </c>
      <c r="E6" s="103" t="s">
        <v>158</v>
      </c>
      <c r="F6" s="68">
        <f>IF(AND(C6&lt;&gt;"",'Official Results'!C6&lt;&gt;""),IF(C6='Official Results'!C6,'Instructions &amp; Rules'!$K$4,IF(C6='Official Results'!C7,'Instructions &amp; Rules'!$K$6,0)),0)+IF(AND(D6&lt;&gt;"",'Official Results'!C7&lt;&gt;""),IF(D6='Official Results'!C7,'Instructions &amp; Rules'!$K$5,IF(D6='Official Results'!C6,'Instructions &amp; Rules'!$K$6,0)),0)+IF(AND(E6&lt;&gt;"",'Official Results'!C8&lt;&gt;"",'Official Results'!G8="Yes"),IF(E6='Official Results'!C8,'Instructions &amp; Rules'!$K$7,0),0)+IF(AND(C6='Official Results'!C6,D6='Official Results'!C7,'Official Results'!C6&lt;&gt;"",'Official Results'!C7&lt;&gt;""),'Instructions &amp; Rules'!$K$8,0)+IF(AND(C6='Official Results'!C6,D6='Official Results'!C7,E6='Official Results'!C8,'Official Results'!G8="Yes"),'Instructions &amp; Rules'!$K$9,0)</f>
        <v>4</v>
      </c>
      <c r="G6" s="69">
        <f>IF(AND(C6&lt;&gt;"",'Official Results'!C6&lt;&gt;"",C6='Official Results'!C6),1,0)+IF(AND(D6&lt;&gt;"",'Official Results'!C7&lt;&gt;"",D6='Official Results'!C7),1,0)+IF(AND(E6&lt;&gt;"",'Official Results'!C8&lt;&gt;"",'Official Results'!G8="Yes",E6='Official Results'!C8),1,0)</f>
        <v>1</v>
      </c>
      <c r="H6" s="101" t="s">
        <v>172</v>
      </c>
      <c r="I6" s="102" t="s">
        <v>169</v>
      </c>
      <c r="J6" s="103" t="s">
        <v>170</v>
      </c>
      <c r="K6" s="68">
        <f>IF(AND(H6&lt;&gt;"",'Official Results'!J6&lt;&gt;""),IF(H6='Official Results'!J6,'Instructions &amp; Rules'!$K$4,IF(H6='Official Results'!J7,'Instructions &amp; Rules'!$K$6,0)),0)+IF(AND(I6&lt;&gt;"",'Official Results'!J7&lt;&gt;""),IF(I6='Official Results'!J7,'Instructions &amp; Rules'!$K$5,IF(I6='Official Results'!J6,'Instructions &amp; Rules'!$K$6,0)),0)+IF(AND(J6&lt;&gt;"",'Official Results'!J8&lt;&gt;"",'Official Results'!N8="Yes"),IF(J6='Official Results'!J8,'Instructions &amp; Rules'!$K$7,0),0)+IF(AND(H6='Official Results'!J6,I6='Official Results'!J7,'Official Results'!J6&lt;&gt;"",'Official Results'!J7&lt;&gt;""),'Instructions &amp; Rules'!$K$8,0)+IF(AND(H6='Official Results'!J6,I6='Official Results'!J7,J6='Official Results'!J8,'Official Results'!N8="Yes"),'Instructions &amp; Rules'!$K$9,0)</f>
        <v>15</v>
      </c>
      <c r="L6" s="69">
        <f>IF(AND(H6&lt;&gt;"",'Official Results'!J6&lt;&gt;"",H6='Official Results'!J6),1,0)+IF(AND(I6&lt;&gt;"",'Official Results'!J7&lt;&gt;"",I6='Official Results'!J7),1,0)+IF(AND(J6&lt;&gt;"",'Official Results'!J8&lt;&gt;"",'Official Results'!N8="Yes",J6='Official Results'!J8),1,0)</f>
        <v>3</v>
      </c>
      <c r="M6" s="101" t="s">
        <v>174</v>
      </c>
      <c r="N6" s="102" t="s">
        <v>176</v>
      </c>
      <c r="O6" s="103" t="s">
        <v>177</v>
      </c>
      <c r="P6" s="68">
        <f>IF(AND(M6&lt;&gt;"",'Official Results'!Q6&lt;&gt;""),IF(M6='Official Results'!Q6,'Instructions &amp; Rules'!$K$4,IF(M6='Official Results'!Q7,'Instructions &amp; Rules'!$K$6,0)),0)+IF(AND(N6&lt;&gt;"",'Official Results'!Q7&lt;&gt;""),IF(N6='Official Results'!Q7,'Instructions &amp; Rules'!$K$5,IF(N6='Official Results'!Q6,'Instructions &amp; Rules'!$K$6,0)),0)+IF(AND(O6&lt;&gt;"",'Official Results'!Q8&lt;&gt;"",'Official Results'!U8="Yes"),IF(O6='Official Results'!Q8,'Instructions &amp; Rules'!$K$7,0),0)+IF(AND(M6='Official Results'!Q6,N6='Official Results'!Q7,'Official Results'!Q6&lt;&gt;"",'Official Results'!Q7&lt;&gt;""),'Instructions &amp; Rules'!$K$8,0)+IF(AND(M6='Official Results'!Q6,N6='Official Results'!Q7,O6='Official Results'!Q8,'Official Results'!U8="Yes"),'Instructions &amp; Rules'!$K$9,0)</f>
        <v>10</v>
      </c>
      <c r="Q6" s="69">
        <f>IF(AND(M6&lt;&gt;"",'Official Results'!Q6&lt;&gt;"",M6='Official Results'!Q6),1,0)+IF(AND(N6&lt;&gt;"",'Official Results'!Q7&lt;&gt;"",N6='Official Results'!Q7),1,0)+IF(AND(O6&lt;&gt;"",'Official Results'!Q8&lt;&gt;"",'Official Results'!U8="Yes",O6='Official Results'!Q8),1,0)</f>
        <v>2</v>
      </c>
      <c r="R6" s="101" t="s">
        <v>182</v>
      </c>
      <c r="S6" s="102" t="s">
        <v>179</v>
      </c>
      <c r="T6" s="103" t="s">
        <v>180</v>
      </c>
      <c r="U6" s="68">
        <f>IF(AND(R6&lt;&gt;"",'Official Results'!X6&lt;&gt;""),IF(R6='Official Results'!X6,'Instructions &amp; Rules'!$K$4,IF(R6='Official Results'!X7,'Instructions &amp; Rules'!$K$6,0)),0)+IF(AND(S6&lt;&gt;"",'Official Results'!X7&lt;&gt;""),IF(S6='Official Results'!X7,'Instructions &amp; Rules'!$K$5,IF(S6='Official Results'!X6,'Instructions &amp; Rules'!$K$6,0)),0)+IF(AND(T6&lt;&gt;"",'Official Results'!X8&lt;&gt;"",'Official Results'!AB8="Yes"),IF(T6='Official Results'!X8,'Instructions &amp; Rules'!$K$7,0),0)+IF(AND(R6='Official Results'!X6,S6='Official Results'!X7,'Official Results'!X6&lt;&gt;"",'Official Results'!X7&lt;&gt;""),'Instructions &amp; Rules'!$K$8,0)+IF(AND(R6='Official Results'!X6,S6='Official Results'!X7,T6='Official Results'!X8,'Official Results'!AB8="Yes"),'Instructions &amp; Rules'!$K$9,0)</f>
        <v>1</v>
      </c>
      <c r="V6" s="69">
        <f>IF(AND(R6&lt;&gt;"",'Official Results'!X6&lt;&gt;"",R6='Official Results'!X6),1,0)+IF(AND(S6&lt;&gt;"",'Official Results'!X7&lt;&gt;"",S6='Official Results'!X7),1,0)+IF(AND(T6&lt;&gt;"",'Official Results'!X8&lt;&gt;"",'Official Results'!AB8="Yes",T6='Official Results'!X8),1,0)</f>
        <v>0</v>
      </c>
      <c r="W6" s="101" t="s">
        <v>184</v>
      </c>
      <c r="X6" s="102" t="s">
        <v>186</v>
      </c>
      <c r="Y6" s="103" t="s">
        <v>187</v>
      </c>
      <c r="Z6" s="68">
        <f>IF(AND(W6&lt;&gt;"",'Official Results'!C13&lt;&gt;""),IF(W6='Official Results'!C13,'Instructions &amp; Rules'!$K$4,IF(W6='Official Results'!C14,'Instructions &amp; Rules'!$K$6,0)),0)+IF(AND(X6&lt;&gt;"",'Official Results'!C14&lt;&gt;""),IF(X6='Official Results'!C14,'Instructions &amp; Rules'!$K$5,IF(X6='Official Results'!C13,'Instructions &amp; Rules'!$K$6,0)),0)+IF(AND(Y6&lt;&gt;"",'Official Results'!C15&lt;&gt;"",'Official Results'!G15="Yes"),IF(Y6='Official Results'!C15,'Instructions &amp; Rules'!$K$7,0),0)+IF(AND(W6='Official Results'!C13,X6='Official Results'!C14,'Official Results'!C13&lt;&gt;"",'Official Results'!C14&lt;&gt;""),'Instructions &amp; Rules'!$K$8,0)+IF(AND(W6='Official Results'!C13,X6='Official Results'!C14,Y6='Official Results'!C15,'Official Results'!G15="Yes"),'Instructions &amp; Rules'!$K$9,0)</f>
        <v>15</v>
      </c>
      <c r="AA6" s="69">
        <f>IF(AND(W6&lt;&gt;"",'Official Results'!C13&lt;&gt;"",W6='Official Results'!C13),1,0)+IF(AND(X6&lt;&gt;"",'Official Results'!C14&lt;&gt;"",X6='Official Results'!C14),1,0)+IF(AND(Y6&lt;&gt;"",'Official Results'!C15&lt;&gt;"",'Official Results'!G15="Yes",Y6='Official Results'!C15),1,0)</f>
        <v>3</v>
      </c>
      <c r="AB6" s="101" t="s">
        <v>189</v>
      </c>
      <c r="AC6" s="102" t="s">
        <v>190</v>
      </c>
      <c r="AD6" s="103" t="s">
        <v>191</v>
      </c>
      <c r="AE6" s="68">
        <f>IF(AND(AB6&lt;&gt;"",'Official Results'!J13&lt;&gt;""),IF(AB6='Official Results'!J13,'Instructions &amp; Rules'!$K$4,IF(AB6='Official Results'!J14,'Instructions &amp; Rules'!$K$6,0)),0)+IF(AND(AC6&lt;&gt;"",'Official Results'!J14&lt;&gt;""),IF(AC6='Official Results'!J14,'Instructions &amp; Rules'!$K$5,IF(AC6='Official Results'!J13,'Instructions &amp; Rules'!$K$6,0)),0)+IF(AND(AD6&lt;&gt;"",'Official Results'!J15&lt;&gt;"",'Official Results'!N15="Yes"),IF(AD6='Official Results'!J15,'Instructions &amp; Rules'!$K$7,0),0)+IF(AND(AB6='Official Results'!J13,AC6='Official Results'!J14,'Official Results'!J13&lt;&gt;"",'Official Results'!J14&lt;&gt;""),'Instructions &amp; Rules'!$K$8,0)+IF(AND(AB6='Official Results'!J13,AC6='Official Results'!J14,AD6='Official Results'!J15,'Official Results'!N15="Yes"),'Instructions &amp; Rules'!$K$9,0)</f>
        <v>15</v>
      </c>
      <c r="AF6" s="69">
        <f>IF(AND(AB6&lt;&gt;"",'Official Results'!J13&lt;&gt;"",AB6='Official Results'!J13),1,0)+IF(AND(AC6&lt;&gt;"",'Official Results'!J14&lt;&gt;"",AC6='Official Results'!J14),1,0)+IF(AND(AD6&lt;&gt;"",'Official Results'!J15&lt;&gt;"",'Official Results'!N15="Yes",AD6='Official Results'!J15),1,0)</f>
        <v>3</v>
      </c>
      <c r="AG6" s="101" t="s">
        <v>194</v>
      </c>
      <c r="AH6" s="102" t="s">
        <v>195</v>
      </c>
      <c r="AI6" s="103" t="s">
        <v>196</v>
      </c>
      <c r="AJ6" s="68">
        <f>IF(AND(AG6&lt;&gt;"",'Official Results'!Q13&lt;&gt;""),IF(AG6='Official Results'!Q13,'Instructions &amp; Rules'!$K$4,IF(AG6='Official Results'!Q14,'Instructions &amp; Rules'!$K$6,0)),0)+IF(AND(AH6&lt;&gt;"",'Official Results'!Q14&lt;&gt;""),IF(AH6='Official Results'!Q14,'Instructions &amp; Rules'!$K$5,IF(AH6='Official Results'!Q13,'Instructions &amp; Rules'!$K$6,0)),0)+IF(AND(AI6&lt;&gt;"",'Official Results'!Q15&lt;&gt;"",'Official Results'!U15="Yes"),IF(AI6='Official Results'!Q15,'Instructions &amp; Rules'!$K$7,0),0)+IF(AND(AG6='Official Results'!Q13,AH6='Official Results'!Q14,'Official Results'!Q13&lt;&gt;"",'Official Results'!Q14&lt;&gt;""),'Instructions &amp; Rules'!$K$8,0)+IF(AND(AG6='Official Results'!Q13,AH6='Official Results'!Q14,AI6='Official Results'!Q15,'Official Results'!U15="Yes"),'Instructions &amp; Rules'!$K$9,0)</f>
        <v>10</v>
      </c>
      <c r="AK6" s="69">
        <f>IF(AND(AG6&lt;&gt;"",'Official Results'!Q13&lt;&gt;"",AG6='Official Results'!Q13),1,0)+IF(AND(AH6&lt;&gt;"",'Official Results'!Q14&lt;&gt;"",AH6='Official Results'!Q14),1,0)+IF(AND(AI6&lt;&gt;"",'Official Results'!Q15&lt;&gt;"",'Official Results'!U15="Yes",AI6='Official Results'!Q15),1,0)</f>
        <v>2</v>
      </c>
      <c r="AL6" s="101" t="s">
        <v>199</v>
      </c>
      <c r="AM6" s="102" t="s">
        <v>202</v>
      </c>
      <c r="AN6" s="103" t="s">
        <v>201</v>
      </c>
      <c r="AO6" s="68">
        <f>IF(AND(AL6&lt;&gt;"",'Official Results'!X13&lt;&gt;""),IF(AL6='Official Results'!X13,'Instructions &amp; Rules'!$K$4,IF(AL6='Official Results'!X14,'Instructions &amp; Rules'!$K$6,0)),0)+IF(AND(AM6&lt;&gt;"",'Official Results'!X14&lt;&gt;""),IF(AM6='Official Results'!X14,'Instructions &amp; Rules'!$K$5,IF(AM6='Official Results'!X13,'Instructions &amp; Rules'!$K$6,0)),0)+IF(AND(AN6&lt;&gt;"",'Official Results'!X15&lt;&gt;"",'Official Results'!AB15="Yes"),IF(AN6='Official Results'!X15,'Instructions &amp; Rules'!$K$7,0),0)+IF(AND(AL6='Official Results'!X13,AM6='Official Results'!X14,'Official Results'!X13&lt;&gt;"",'Official Results'!X14&lt;&gt;""),'Instructions &amp; Rules'!$K$8,0)+IF(AND(AL6='Official Results'!X13,AM6='Official Results'!X14,AN6='Official Results'!X15,'Official Results'!AB15="Yes"),'Instructions &amp; Rules'!$K$9,0)</f>
        <v>4</v>
      </c>
      <c r="AP6" s="69">
        <f>IF(AND(AL6&lt;&gt;"",'Official Results'!X13&lt;&gt;"",AL6='Official Results'!X13),1,0)+IF(AND(AM6&lt;&gt;"",'Official Results'!X14&lt;&gt;"",AM6='Official Results'!X14),1,0)+IF(AND(AN6&lt;&gt;"",'Official Results'!X15&lt;&gt;"",'Official Results'!AB15="Yes",AN6='Official Results'!X15),1,0)</f>
        <v>1</v>
      </c>
      <c r="AQ6" s="101" t="s">
        <v>204</v>
      </c>
      <c r="AR6" s="102" t="s">
        <v>207</v>
      </c>
      <c r="AS6" s="103" t="s">
        <v>206</v>
      </c>
      <c r="AT6" s="68">
        <f>IF(AND(AQ6&lt;&gt;"",'Official Results'!C20&lt;&gt;""),IF(AQ6='Official Results'!C20,'Instructions &amp; Rules'!$K$4,IF(AQ6='Official Results'!C21,'Instructions &amp; Rules'!$K$6,0)),0)+IF(AND(AR6&lt;&gt;"",'Official Results'!C21&lt;&gt;""),IF(AR6='Official Results'!C21,'Instructions &amp; Rules'!$K$5,IF(AR6='Official Results'!C20,'Instructions &amp; Rules'!$K$6,0)),0)+IF(AND(AS6&lt;&gt;"",'Official Results'!C22&lt;&gt;"",'Official Results'!G22="Yes"),IF(AS6='Official Results'!C22,'Instructions &amp; Rules'!$K$7,0),0)+IF(AND(AQ6='Official Results'!C20,AR6='Official Results'!C21,'Official Results'!C20&lt;&gt;"",'Official Results'!C21&lt;&gt;""),'Instructions &amp; Rules'!$K$8,0)+IF(AND(AQ6='Official Results'!C20,AR6='Official Results'!C21,AS6='Official Results'!C22,'Official Results'!G22="Yes"),'Instructions &amp; Rules'!$K$9,0)</f>
        <v>10</v>
      </c>
      <c r="AU6" s="69">
        <f>IF(AND(AQ6&lt;&gt;"",'Official Results'!C20&lt;&gt;"",AQ6='Official Results'!C20),1,0)+IF(AND(AR6&lt;&gt;"",'Official Results'!C21&lt;&gt;"",AR6='Official Results'!C21),1,0)+IF(AND(AS6&lt;&gt;"",'Official Results'!C22&lt;&gt;"",'Official Results'!G22="Yes",AS6='Official Results'!C22),1,0)</f>
        <v>2</v>
      </c>
      <c r="AV6" s="101" t="s">
        <v>209</v>
      </c>
      <c r="AW6" s="102" t="s">
        <v>210</v>
      </c>
      <c r="AX6" s="103" t="s">
        <v>211</v>
      </c>
      <c r="AY6" s="68">
        <f>IF(AND(AV6&lt;&gt;"",'Official Results'!J20&lt;&gt;""),IF(AV6='Official Results'!J20,'Instructions &amp; Rules'!$K$4,IF(AV6='Official Results'!J21,'Instructions &amp; Rules'!$K$6,0)),0)+IF(AND(AW6&lt;&gt;"",'Official Results'!J21&lt;&gt;""),IF(AW6='Official Results'!J21,'Instructions &amp; Rules'!$K$5,IF(AW6='Official Results'!J20,'Instructions &amp; Rules'!$K$6,0)),0)+IF(AND(AX6&lt;&gt;"",'Official Results'!J22&lt;&gt;"",'Official Results'!N22="Yes"),IF(AX6='Official Results'!J22,'Instructions &amp; Rules'!$K$7,0),0)+IF(AND(AV6='Official Results'!J20,AW6='Official Results'!J21,'Official Results'!J20&lt;&gt;"",'Official Results'!J21&lt;&gt;""),'Instructions &amp; Rules'!$K$8,0)+IF(AND(AV6='Official Results'!J20,AW6='Official Results'!J21,AX6='Official Results'!J22,'Official Results'!N22="Yes"),'Instructions &amp; Rules'!$K$9,0)</f>
        <v>4</v>
      </c>
      <c r="AZ6" s="69">
        <f>IF(AND(AV6&lt;&gt;"",'Official Results'!J20&lt;&gt;"",AV6='Official Results'!J20),1,0)+IF(AND(AW6&lt;&gt;"",'Official Results'!J21&lt;&gt;"",AW6='Official Results'!J21),1,0)+IF(AND(AX6&lt;&gt;"",'Official Results'!J22&lt;&gt;"",'Official Results'!N22="Yes",AX6='Official Results'!J22),1,0)</f>
        <v>1</v>
      </c>
      <c r="BA6" s="101" t="s">
        <v>215</v>
      </c>
      <c r="BB6" s="102" t="s">
        <v>214</v>
      </c>
      <c r="BC6" s="103" t="s">
        <v>216</v>
      </c>
      <c r="BD6" s="68">
        <f>IF(AND(BA6&lt;&gt;"",'Official Results'!Q20&lt;&gt;""),IF(BA6='Official Results'!Q20,'Instructions &amp; Rules'!$K$4,IF(BA6='Official Results'!Q21,'Instructions &amp; Rules'!$K$6,0)),0)+IF(AND(BB6&lt;&gt;"",'Official Results'!Q21&lt;&gt;""),IF(BB6='Official Results'!Q21,'Instructions &amp; Rules'!$K$5,IF(BB6='Official Results'!Q20,'Instructions &amp; Rules'!$K$6,0)),0)+IF(AND(BC6&lt;&gt;"",'Official Results'!Q22&lt;&gt;"",'Official Results'!U22="Yes"),IF(BC6='Official Results'!Q22,'Instructions &amp; Rules'!$K$7,0),0)+IF(AND(BA6='Official Results'!Q20,BB6='Official Results'!Q21,'Official Results'!Q20&lt;&gt;"",'Official Results'!Q21&lt;&gt;""),'Instructions &amp; Rules'!$K$8,0)+IF(AND(BA6='Official Results'!Q20,BB6='Official Results'!Q21,BC6='Official Results'!Q22,'Official Results'!U22="Yes"),'Instructions &amp; Rules'!$K$9,0)</f>
        <v>2</v>
      </c>
      <c r="BE6" s="69">
        <f>IF(AND(BA6&lt;&gt;"",'Official Results'!Q20&lt;&gt;"",BA6='Official Results'!Q20),1,0)+IF(AND(BB6&lt;&gt;"",'Official Results'!Q21&lt;&gt;"",BB6='Official Results'!Q21),1,0)+IF(AND(BC6&lt;&gt;"",'Official Results'!Q22&lt;&gt;"",'Official Results'!U22="Yes",BC6='Official Results'!Q22),1,0)</f>
        <v>0</v>
      </c>
      <c r="BF6" s="101" t="s">
        <v>219</v>
      </c>
      <c r="BG6" s="102" t="s">
        <v>220</v>
      </c>
      <c r="BH6" s="103" t="s">
        <v>221</v>
      </c>
      <c r="BI6" s="68">
        <f>IF(AND(BF6&lt;&gt;"",'Official Results'!X20&lt;&gt;""),IF(BF6='Official Results'!X20,'Instructions &amp; Rules'!$K$4,IF(BF6='Official Results'!X21,'Instructions &amp; Rules'!$K$6,0)),0)+IF(AND(BG6&lt;&gt;"",'Official Results'!X21&lt;&gt;""),IF(BG6='Official Results'!X21,'Instructions &amp; Rules'!$K$5,IF(BG6='Official Results'!X20,'Instructions &amp; Rules'!$K$6,0)),0)+IF(AND(BH6&lt;&gt;"",'Official Results'!X22&lt;&gt;"",'Official Results'!AB22="Yes"),IF(BH6='Official Results'!X22,'Instructions &amp; Rules'!$K$7,0),0)+IF(AND(BF6='Official Results'!X20,BG6='Official Results'!X21,'Official Results'!X20&lt;&gt;"",'Official Results'!X21&lt;&gt;""),'Instructions &amp; Rules'!$K$8,0)+IF(AND(BF6='Official Results'!X20,BG6='Official Results'!X21,BH6='Official Results'!X22,'Official Results'!AB22="Yes"),'Instructions &amp; Rules'!$K$9,0)</f>
        <v>15</v>
      </c>
      <c r="BJ6" s="69">
        <f>IF(AND(BF6&lt;&gt;"",'Official Results'!X20&lt;&gt;"",BF6='Official Results'!X20),1,0)+IF(AND(BG6&lt;&gt;"",'Official Results'!X21&lt;&gt;"",BG6='Official Results'!X21),1,0)+IF(AND(BH6&lt;&gt;"",'Official Results'!X22&lt;&gt;"",'Official Results'!AB22="Yes",BH6='Official Results'!X22),1,0)</f>
        <v>3</v>
      </c>
      <c r="BK6" s="70">
        <f t="shared" ref="BK6:BK25" si="0">SUM(F6,K6,P6,U6,Z6,AE6,AJ6,AO6,AT6,AY6,BD6,BI6)</f>
        <v>105</v>
      </c>
      <c r="BL6" s="71">
        <f t="shared" ref="BL6:BL25" si="1">SUM(G6,L6,Q6,V6,AA6,AF6,AK6,AP6,AU6,AZ6,BE6,BJ6)</f>
        <v>21</v>
      </c>
      <c r="BM6" s="72">
        <f t="shared" ref="BM6:BM25" si="2">SUM(COUNTIF(C6:E6,"&lt;&gt;"),COUNTIF(H6:J6,"&lt;&gt;"),COUNTIF(M6:O6,"&lt;&gt;"),COUNTIF(R6:T6,"&lt;&gt;"),COUNTIF(W6:Y6,"&lt;&gt;"),COUNTIF(AB6:AD6,"&lt;&gt;"),COUNTIF(AG6:AI6,"&lt;&gt;"),COUNTIF(AL6:AN6,"&lt;&gt;"),COUNTIF(AQ6:AS6,"&lt;&gt;"),COUNTIF(AV6:AX6,"&lt;&gt;"),COUNTIF(BA6:BC6,"&lt;&gt;"),COUNTIF(BF6:BH6,"&lt;&gt;"))/36</f>
        <v>1</v>
      </c>
    </row>
    <row r="7" spans="1:65" ht="15" customHeight="1">
      <c r="A7" s="73" t="str">
        <f>IF(Players!B7="","",Players!B7)</f>
        <v>Fathan Mauludin</v>
      </c>
      <c r="B7" s="86"/>
      <c r="C7" s="101" t="s">
        <v>157</v>
      </c>
      <c r="D7" s="102" t="s">
        <v>161</v>
      </c>
      <c r="E7" s="103" t="s">
        <v>160</v>
      </c>
      <c r="F7" s="68">
        <f>IF(AND(C7&lt;&gt;"",'Official Results'!C6&lt;&gt;""),IF(C7='Official Results'!C6,'Instructions &amp; Rules'!$K$4,IF(C7='Official Results'!C7,'Instructions &amp; Rules'!$K$6,0)),0)+IF(AND(D7&lt;&gt;"",'Official Results'!C7&lt;&gt;""),IF(D7='Official Results'!C7,'Instructions &amp; Rules'!$K$5,IF(D7='Official Results'!C6,'Instructions &amp; Rules'!$K$6,0)),0)+IF(AND(E7&lt;&gt;"",'Official Results'!C8&lt;&gt;"",'Official Results'!G8="Yes"),IF(E7='Official Results'!C8,'Instructions &amp; Rules'!$K$7,0),0)+IF(AND(C7='Official Results'!C6,D7='Official Results'!C7,'Official Results'!C6&lt;&gt;"",'Official Results'!C7&lt;&gt;""),'Instructions &amp; Rules'!$K$8,0)+IF(AND(C7='Official Results'!C6,D7='Official Results'!C7,E7='Official Results'!C8,'Official Results'!G8="Yes"),'Instructions &amp; Rules'!$K$9,0)</f>
        <v>4</v>
      </c>
      <c r="G7" s="69">
        <f>IF(AND(C7&lt;&gt;"",'Official Results'!C6&lt;&gt;"",C7='Official Results'!C6),1,0)+IF(AND(D7&lt;&gt;"",'Official Results'!C7&lt;&gt;"",D7='Official Results'!C7),1,0)+IF(AND(E7&lt;&gt;"",'Official Results'!C8&lt;&gt;"",'Official Results'!G8="Yes",E7='Official Results'!C8),1,0)</f>
        <v>1</v>
      </c>
      <c r="H7" s="101" t="s">
        <v>172</v>
      </c>
      <c r="I7" s="102" t="s">
        <v>169</v>
      </c>
      <c r="J7" s="103" t="s">
        <v>171</v>
      </c>
      <c r="K7" s="68">
        <f>IF(AND(H7&lt;&gt;"",'Official Results'!J6&lt;&gt;""),IF(H7='Official Results'!J6,'Instructions &amp; Rules'!$K$4,IF(H7='Official Results'!J7,'Instructions &amp; Rules'!$K$6,0)),0)+IF(AND(I7&lt;&gt;"",'Official Results'!J7&lt;&gt;""),IF(I7='Official Results'!J7,'Instructions &amp; Rules'!$K$5,IF(I7='Official Results'!J6,'Instructions &amp; Rules'!$K$6,0)),0)+IF(AND(J7&lt;&gt;"",'Official Results'!J8&lt;&gt;"",'Official Results'!N8="Yes"),IF(J7='Official Results'!J8,'Instructions &amp; Rules'!$K$7,0),0)+IF(AND(H7='Official Results'!J6,I7='Official Results'!J7,'Official Results'!J6&lt;&gt;"",'Official Results'!J7&lt;&gt;""),'Instructions &amp; Rules'!$K$8,0)+IF(AND(H7='Official Results'!J6,I7='Official Results'!J7,J7='Official Results'!J8,'Official Results'!N8="Yes"),'Instructions &amp; Rules'!$K$9,0)</f>
        <v>10</v>
      </c>
      <c r="L7" s="69">
        <f>IF(AND(H7&lt;&gt;"",'Official Results'!J6&lt;&gt;"",H7='Official Results'!J6),1,0)+IF(AND(I7&lt;&gt;"",'Official Results'!J7&lt;&gt;"",I7='Official Results'!J7),1,0)+IF(AND(J7&lt;&gt;"",'Official Results'!J8&lt;&gt;"",'Official Results'!N8="Yes",J7='Official Results'!J8),1,0)</f>
        <v>2</v>
      </c>
      <c r="M7" s="101" t="s">
        <v>174</v>
      </c>
      <c r="N7" s="102" t="s">
        <v>177</v>
      </c>
      <c r="O7" s="103" t="s">
        <v>176</v>
      </c>
      <c r="P7" s="68">
        <f>IF(AND(M7&lt;&gt;"",'Official Results'!Q6&lt;&gt;""),IF(M7='Official Results'!Q6,'Instructions &amp; Rules'!$K$4,IF(M7='Official Results'!Q7,'Instructions &amp; Rules'!$K$6,0)),0)+IF(AND(N7&lt;&gt;"",'Official Results'!Q7&lt;&gt;""),IF(N7='Official Results'!Q7,'Instructions &amp; Rules'!$K$5,IF(N7='Official Results'!Q6,'Instructions &amp; Rules'!$K$6,0)),0)+IF(AND(O7&lt;&gt;"",'Official Results'!Q8&lt;&gt;"",'Official Results'!U8="Yes"),IF(O7='Official Results'!Q8,'Instructions &amp; Rules'!$K$7,0),0)+IF(AND(M7='Official Results'!Q6,N7='Official Results'!Q7,'Official Results'!Q6&lt;&gt;"",'Official Results'!Q7&lt;&gt;""),'Instructions &amp; Rules'!$K$8,0)+IF(AND(M7='Official Results'!Q6,N7='Official Results'!Q7,O7='Official Results'!Q8,'Official Results'!U8="Yes"),'Instructions &amp; Rules'!$K$9,0)</f>
        <v>4</v>
      </c>
      <c r="Q7" s="69">
        <f>IF(AND(M7&lt;&gt;"",'Official Results'!Q6&lt;&gt;"",M7='Official Results'!Q6),1,0)+IF(AND(N7&lt;&gt;"",'Official Results'!Q7&lt;&gt;"",N7='Official Results'!Q7),1,0)+IF(AND(O7&lt;&gt;"",'Official Results'!Q8&lt;&gt;"",'Official Results'!U8="Yes",O7='Official Results'!Q8),1,0)</f>
        <v>1</v>
      </c>
      <c r="R7" s="101" t="s">
        <v>182</v>
      </c>
      <c r="S7" s="102" t="s">
        <v>179</v>
      </c>
      <c r="T7" s="103" t="s">
        <v>180</v>
      </c>
      <c r="U7" s="68">
        <f>IF(AND(R7&lt;&gt;"",'Official Results'!X6&lt;&gt;""),IF(R7='Official Results'!X6,'Instructions &amp; Rules'!$K$4,IF(R7='Official Results'!X7,'Instructions &amp; Rules'!$K$6,0)),0)+IF(AND(S7&lt;&gt;"",'Official Results'!X7&lt;&gt;""),IF(S7='Official Results'!X7,'Instructions &amp; Rules'!$K$5,IF(S7='Official Results'!X6,'Instructions &amp; Rules'!$K$6,0)),0)+IF(AND(T7&lt;&gt;"",'Official Results'!X8&lt;&gt;"",'Official Results'!AB8="Yes"),IF(T7='Official Results'!X8,'Instructions &amp; Rules'!$K$7,0),0)+IF(AND(R7='Official Results'!X6,S7='Official Results'!X7,'Official Results'!X6&lt;&gt;"",'Official Results'!X7&lt;&gt;""),'Instructions &amp; Rules'!$K$8,0)+IF(AND(R7='Official Results'!X6,S7='Official Results'!X7,T7='Official Results'!X8,'Official Results'!AB8="Yes"),'Instructions &amp; Rules'!$K$9,0)</f>
        <v>1</v>
      </c>
      <c r="V7" s="69">
        <f>IF(AND(R7&lt;&gt;"",'Official Results'!X6&lt;&gt;"",R7='Official Results'!X6),1,0)+IF(AND(S7&lt;&gt;"",'Official Results'!X7&lt;&gt;"",S7='Official Results'!X7),1,0)+IF(AND(T7&lt;&gt;"",'Official Results'!X8&lt;&gt;"",'Official Results'!AB8="Yes",T7='Official Results'!X8),1,0)</f>
        <v>0</v>
      </c>
      <c r="W7" s="101" t="s">
        <v>184</v>
      </c>
      <c r="X7" s="102" t="s">
        <v>186</v>
      </c>
      <c r="Y7" s="103" t="s">
        <v>187</v>
      </c>
      <c r="Z7" s="68">
        <f>IF(AND(W7&lt;&gt;"",'Official Results'!C13&lt;&gt;""),IF(W7='Official Results'!C13,'Instructions &amp; Rules'!$K$4,IF(W7='Official Results'!C14,'Instructions &amp; Rules'!$K$6,0)),0)+IF(AND(X7&lt;&gt;"",'Official Results'!C14&lt;&gt;""),IF(X7='Official Results'!C14,'Instructions &amp; Rules'!$K$5,IF(X7='Official Results'!C13,'Instructions &amp; Rules'!$K$6,0)),0)+IF(AND(Y7&lt;&gt;"",'Official Results'!C15&lt;&gt;"",'Official Results'!G15="Yes"),IF(Y7='Official Results'!C15,'Instructions &amp; Rules'!$K$7,0),0)+IF(AND(W7='Official Results'!C13,X7='Official Results'!C14,'Official Results'!C13&lt;&gt;"",'Official Results'!C14&lt;&gt;""),'Instructions &amp; Rules'!$K$8,0)+IF(AND(W7='Official Results'!C13,X7='Official Results'!C14,Y7='Official Results'!C15,'Official Results'!G15="Yes"),'Instructions &amp; Rules'!$K$9,0)</f>
        <v>15</v>
      </c>
      <c r="AA7" s="69">
        <f>IF(AND(W7&lt;&gt;"",'Official Results'!C13&lt;&gt;"",W7='Official Results'!C13),1,0)+IF(AND(X7&lt;&gt;"",'Official Results'!C14&lt;&gt;"",X7='Official Results'!C14),1,0)+IF(AND(Y7&lt;&gt;"",'Official Results'!C15&lt;&gt;"",'Official Results'!G15="Yes",Y7='Official Results'!C15),1,0)</f>
        <v>3</v>
      </c>
      <c r="AB7" s="101" t="s">
        <v>189</v>
      </c>
      <c r="AC7" s="102" t="s">
        <v>190</v>
      </c>
      <c r="AD7" s="103" t="s">
        <v>191</v>
      </c>
      <c r="AE7" s="68">
        <f>IF(AND(AB7&lt;&gt;"",'Official Results'!J13&lt;&gt;""),IF(AB7='Official Results'!J13,'Instructions &amp; Rules'!$K$4,IF(AB7='Official Results'!J14,'Instructions &amp; Rules'!$K$6,0)),0)+IF(AND(AC7&lt;&gt;"",'Official Results'!J14&lt;&gt;""),IF(AC7='Official Results'!J14,'Instructions &amp; Rules'!$K$5,IF(AC7='Official Results'!J13,'Instructions &amp; Rules'!$K$6,0)),0)+IF(AND(AD7&lt;&gt;"",'Official Results'!J15&lt;&gt;"",'Official Results'!N15="Yes"),IF(AD7='Official Results'!J15,'Instructions &amp; Rules'!$K$7,0),0)+IF(AND(AB7='Official Results'!J13,AC7='Official Results'!J14,'Official Results'!J13&lt;&gt;"",'Official Results'!J14&lt;&gt;""),'Instructions &amp; Rules'!$K$8,0)+IF(AND(AB7='Official Results'!J13,AC7='Official Results'!J14,AD7='Official Results'!J15,'Official Results'!N15="Yes"),'Instructions &amp; Rules'!$K$9,0)</f>
        <v>15</v>
      </c>
      <c r="AF7" s="69">
        <f>IF(AND(AB7&lt;&gt;"",'Official Results'!J13&lt;&gt;"",AB7='Official Results'!J13),1,0)+IF(AND(AC7&lt;&gt;"",'Official Results'!J14&lt;&gt;"",AC7='Official Results'!J14),1,0)+IF(AND(AD7&lt;&gt;"",'Official Results'!J15&lt;&gt;"",'Official Results'!N15="Yes",AD7='Official Results'!J15),1,0)</f>
        <v>3</v>
      </c>
      <c r="AG7" s="101" t="s">
        <v>194</v>
      </c>
      <c r="AH7" s="102" t="s">
        <v>195</v>
      </c>
      <c r="AI7" s="103" t="s">
        <v>196</v>
      </c>
      <c r="AJ7" s="68">
        <f>IF(AND(AG7&lt;&gt;"",'Official Results'!Q13&lt;&gt;""),IF(AG7='Official Results'!Q13,'Instructions &amp; Rules'!$K$4,IF(AG7='Official Results'!Q14,'Instructions &amp; Rules'!$K$6,0)),0)+IF(AND(AH7&lt;&gt;"",'Official Results'!Q14&lt;&gt;""),IF(AH7='Official Results'!Q14,'Instructions &amp; Rules'!$K$5,IF(AH7='Official Results'!Q13,'Instructions &amp; Rules'!$K$6,0)),0)+IF(AND(AI7&lt;&gt;"",'Official Results'!Q15&lt;&gt;"",'Official Results'!U15="Yes"),IF(AI7='Official Results'!Q15,'Instructions &amp; Rules'!$K$7,0),0)+IF(AND(AG7='Official Results'!Q13,AH7='Official Results'!Q14,'Official Results'!Q13&lt;&gt;"",'Official Results'!Q14&lt;&gt;""),'Instructions &amp; Rules'!$K$8,0)+IF(AND(AG7='Official Results'!Q13,AH7='Official Results'!Q14,AI7='Official Results'!Q15,'Official Results'!U15="Yes"),'Instructions &amp; Rules'!$K$9,0)</f>
        <v>10</v>
      </c>
      <c r="AK7" s="69">
        <f>IF(AND(AG7&lt;&gt;"",'Official Results'!Q13&lt;&gt;"",AG7='Official Results'!Q13),1,0)+IF(AND(AH7&lt;&gt;"",'Official Results'!Q14&lt;&gt;"",AH7='Official Results'!Q14),1,0)+IF(AND(AI7&lt;&gt;"",'Official Results'!Q15&lt;&gt;"",'Official Results'!U15="Yes",AI7='Official Results'!Q15),1,0)</f>
        <v>2</v>
      </c>
      <c r="AL7" s="101" t="s">
        <v>199</v>
      </c>
      <c r="AM7" s="102" t="s">
        <v>202</v>
      </c>
      <c r="AN7" s="103" t="s">
        <v>201</v>
      </c>
      <c r="AO7" s="68">
        <f>IF(AND(AL7&lt;&gt;"",'Official Results'!X13&lt;&gt;""),IF(AL7='Official Results'!X13,'Instructions &amp; Rules'!$K$4,IF(AL7='Official Results'!X14,'Instructions &amp; Rules'!$K$6,0)),0)+IF(AND(AM7&lt;&gt;"",'Official Results'!X14&lt;&gt;""),IF(AM7='Official Results'!X14,'Instructions &amp; Rules'!$K$5,IF(AM7='Official Results'!X13,'Instructions &amp; Rules'!$K$6,0)),0)+IF(AND(AN7&lt;&gt;"",'Official Results'!X15&lt;&gt;"",'Official Results'!AB15="Yes"),IF(AN7='Official Results'!X15,'Instructions &amp; Rules'!$K$7,0),0)+IF(AND(AL7='Official Results'!X13,AM7='Official Results'!X14,'Official Results'!X13&lt;&gt;"",'Official Results'!X14&lt;&gt;""),'Instructions &amp; Rules'!$K$8,0)+IF(AND(AL7='Official Results'!X13,AM7='Official Results'!X14,AN7='Official Results'!X15,'Official Results'!AB15="Yes"),'Instructions &amp; Rules'!$K$9,0)</f>
        <v>4</v>
      </c>
      <c r="AP7" s="69">
        <f>IF(AND(AL7&lt;&gt;"",'Official Results'!X13&lt;&gt;"",AL7='Official Results'!X13),1,0)+IF(AND(AM7&lt;&gt;"",'Official Results'!X14&lt;&gt;"",AM7='Official Results'!X14),1,0)+IF(AND(AN7&lt;&gt;"",'Official Results'!X15&lt;&gt;"",'Official Results'!AB15="Yes",AN7='Official Results'!X15),1,0)</f>
        <v>1</v>
      </c>
      <c r="AQ7" s="101" t="s">
        <v>204</v>
      </c>
      <c r="AR7" s="102" t="s">
        <v>207</v>
      </c>
      <c r="AS7" s="103" t="s">
        <v>206</v>
      </c>
      <c r="AT7" s="68">
        <f>IF(AND(AQ7&lt;&gt;"",'Official Results'!C20&lt;&gt;""),IF(AQ7='Official Results'!C20,'Instructions &amp; Rules'!$K$4,IF(AQ7='Official Results'!C21,'Instructions &amp; Rules'!$K$6,0)),0)+IF(AND(AR7&lt;&gt;"",'Official Results'!C21&lt;&gt;""),IF(AR7='Official Results'!C21,'Instructions &amp; Rules'!$K$5,IF(AR7='Official Results'!C20,'Instructions &amp; Rules'!$K$6,0)),0)+IF(AND(AS7&lt;&gt;"",'Official Results'!C22&lt;&gt;"",'Official Results'!G22="Yes"),IF(AS7='Official Results'!C22,'Instructions &amp; Rules'!$K$7,0),0)+IF(AND(AQ7='Official Results'!C20,AR7='Official Results'!C21,'Official Results'!C20&lt;&gt;"",'Official Results'!C21&lt;&gt;""),'Instructions &amp; Rules'!$K$8,0)+IF(AND(AQ7='Official Results'!C20,AR7='Official Results'!C21,AS7='Official Results'!C22,'Official Results'!G22="Yes"),'Instructions &amp; Rules'!$K$9,0)</f>
        <v>10</v>
      </c>
      <c r="AU7" s="69">
        <f>IF(AND(AQ7&lt;&gt;"",'Official Results'!C20&lt;&gt;"",AQ7='Official Results'!C20),1,0)+IF(AND(AR7&lt;&gt;"",'Official Results'!C21&lt;&gt;"",AR7='Official Results'!C21),1,0)+IF(AND(AS7&lt;&gt;"",'Official Results'!C22&lt;&gt;"",'Official Results'!G22="Yes",AS7='Official Results'!C22),1,0)</f>
        <v>2</v>
      </c>
      <c r="AV7" s="101" t="s">
        <v>209</v>
      </c>
      <c r="AW7" s="102" t="s">
        <v>211</v>
      </c>
      <c r="AX7" s="103" t="s">
        <v>210</v>
      </c>
      <c r="AY7" s="68">
        <f>IF(AND(AV7&lt;&gt;"",'Official Results'!J20&lt;&gt;""),IF(AV7='Official Results'!J20,'Instructions &amp; Rules'!$K$4,IF(AV7='Official Results'!J21,'Instructions &amp; Rules'!$K$6,0)),0)+IF(AND(AW7&lt;&gt;"",'Official Results'!J21&lt;&gt;""),IF(AW7='Official Results'!J21,'Instructions &amp; Rules'!$K$5,IF(AW7='Official Results'!J20,'Instructions &amp; Rules'!$K$6,0)),0)+IF(AND(AX7&lt;&gt;"",'Official Results'!J22&lt;&gt;"",'Official Results'!N22="Yes"),IF(AX7='Official Results'!J22,'Instructions &amp; Rules'!$K$7,0),0)+IF(AND(AV7='Official Results'!J20,AW7='Official Results'!J21,'Official Results'!J20&lt;&gt;"",'Official Results'!J21&lt;&gt;""),'Instructions &amp; Rules'!$K$8,0)+IF(AND(AV7='Official Results'!J20,AW7='Official Results'!J21,AX7='Official Results'!J22,'Official Results'!N22="Yes"),'Instructions &amp; Rules'!$K$9,0)</f>
        <v>15</v>
      </c>
      <c r="AZ7" s="69">
        <f>IF(AND(AV7&lt;&gt;"",'Official Results'!J20&lt;&gt;"",AV7='Official Results'!J20),1,0)+IF(AND(AW7&lt;&gt;"",'Official Results'!J21&lt;&gt;"",AW7='Official Results'!J21),1,0)+IF(AND(AX7&lt;&gt;"",'Official Results'!J22&lt;&gt;"",'Official Results'!N22="Yes",AX7='Official Results'!J22),1,0)</f>
        <v>3</v>
      </c>
      <c r="BA7" s="101" t="s">
        <v>215</v>
      </c>
      <c r="BB7" s="102" t="s">
        <v>214</v>
      </c>
      <c r="BC7" s="103" t="s">
        <v>216</v>
      </c>
      <c r="BD7" s="68">
        <f>IF(AND(BA7&lt;&gt;"",'Official Results'!Q20&lt;&gt;""),IF(BA7='Official Results'!Q20,'Instructions &amp; Rules'!$K$4,IF(BA7='Official Results'!Q21,'Instructions &amp; Rules'!$K$6,0)),0)+IF(AND(BB7&lt;&gt;"",'Official Results'!Q21&lt;&gt;""),IF(BB7='Official Results'!Q21,'Instructions &amp; Rules'!$K$5,IF(BB7='Official Results'!Q20,'Instructions &amp; Rules'!$K$6,0)),0)+IF(AND(BC7&lt;&gt;"",'Official Results'!Q22&lt;&gt;"",'Official Results'!U22="Yes"),IF(BC7='Official Results'!Q22,'Instructions &amp; Rules'!$K$7,0),0)+IF(AND(BA7='Official Results'!Q20,BB7='Official Results'!Q21,'Official Results'!Q20&lt;&gt;"",'Official Results'!Q21&lt;&gt;""),'Instructions &amp; Rules'!$K$8,0)+IF(AND(BA7='Official Results'!Q20,BB7='Official Results'!Q21,BC7='Official Results'!Q22,'Official Results'!U22="Yes"),'Instructions &amp; Rules'!$K$9,0)</f>
        <v>2</v>
      </c>
      <c r="BE7" s="69">
        <f>IF(AND(BA7&lt;&gt;"",'Official Results'!Q20&lt;&gt;"",BA7='Official Results'!Q20),1,0)+IF(AND(BB7&lt;&gt;"",'Official Results'!Q21&lt;&gt;"",BB7='Official Results'!Q21),1,0)+IF(AND(BC7&lt;&gt;"",'Official Results'!Q22&lt;&gt;"",'Official Results'!U22="Yes",BC7='Official Results'!Q22),1,0)</f>
        <v>0</v>
      </c>
      <c r="BF7" s="101" t="s">
        <v>219</v>
      </c>
      <c r="BG7" s="102" t="s">
        <v>221</v>
      </c>
      <c r="BH7" s="103" t="s">
        <v>220</v>
      </c>
      <c r="BI7" s="68">
        <f>IF(AND(BF7&lt;&gt;"",'Official Results'!X20&lt;&gt;""),IF(BF7='Official Results'!X20,'Instructions &amp; Rules'!$K$4,IF(BF7='Official Results'!X21,'Instructions &amp; Rules'!$K$6,0)),0)+IF(AND(BG7&lt;&gt;"",'Official Results'!X21&lt;&gt;""),IF(BG7='Official Results'!X21,'Instructions &amp; Rules'!$K$5,IF(BG7='Official Results'!X20,'Instructions &amp; Rules'!$K$6,0)),0)+IF(AND(BH7&lt;&gt;"",'Official Results'!X22&lt;&gt;"",'Official Results'!AB22="Yes"),IF(BH7='Official Results'!X22,'Instructions &amp; Rules'!$K$7,0),0)+IF(AND(BF7='Official Results'!X20,BG7='Official Results'!X21,'Official Results'!X20&lt;&gt;"",'Official Results'!X21&lt;&gt;""),'Instructions &amp; Rules'!$K$8,0)+IF(AND(BF7='Official Results'!X20,BG7='Official Results'!X21,BH7='Official Results'!X22,'Official Results'!AB22="Yes"),'Instructions &amp; Rules'!$K$9,0)</f>
        <v>4</v>
      </c>
      <c r="BJ7" s="69">
        <f>IF(AND(BF7&lt;&gt;"",'Official Results'!X20&lt;&gt;"",BF7='Official Results'!X20),1,0)+IF(AND(BG7&lt;&gt;"",'Official Results'!X21&lt;&gt;"",BG7='Official Results'!X21),1,0)+IF(AND(BH7&lt;&gt;"",'Official Results'!X22&lt;&gt;"",'Official Results'!AB22="Yes",BH7='Official Results'!X22),1,0)</f>
        <v>1</v>
      </c>
      <c r="BK7" s="70">
        <f t="shared" si="0"/>
        <v>94</v>
      </c>
      <c r="BL7" s="71">
        <f t="shared" si="1"/>
        <v>19</v>
      </c>
      <c r="BM7" s="72">
        <f t="shared" si="2"/>
        <v>1</v>
      </c>
    </row>
    <row r="8" spans="1:65" ht="29.25" customHeight="1">
      <c r="A8" s="73" t="str">
        <f>IF(Players!B8="","",Players!B8)</f>
        <v>M Fakhri Auladana</v>
      </c>
      <c r="B8" s="86"/>
      <c r="C8" s="101" t="s">
        <v>157</v>
      </c>
      <c r="D8" s="102" t="s">
        <v>160</v>
      </c>
      <c r="E8" s="103" t="s">
        <v>161</v>
      </c>
      <c r="F8" s="68">
        <f>IF(AND(C8&lt;&gt;"",'Official Results'!C6&lt;&gt;""),IF(C8='Official Results'!C6,'Instructions &amp; Rules'!$K$4,IF(C8='Official Results'!C7,'Instructions &amp; Rules'!$K$6,0)),0)+IF(AND(D8&lt;&gt;"",'Official Results'!C7&lt;&gt;""),IF(D8='Official Results'!C7,'Instructions &amp; Rules'!$K$5,IF(D8='Official Results'!C6,'Instructions &amp; Rules'!$K$6,0)),0)+IF(AND(E8&lt;&gt;"",'Official Results'!C8&lt;&gt;"",'Official Results'!G8="Yes"),IF(E8='Official Results'!C8,'Instructions &amp; Rules'!$K$7,0),0)+IF(AND(C8='Official Results'!C6,D8='Official Results'!C7,'Official Results'!C6&lt;&gt;"",'Official Results'!C7&lt;&gt;""),'Instructions &amp; Rules'!$K$8,0)+IF(AND(C8='Official Results'!C6,D8='Official Results'!C7,E8='Official Results'!C8,'Official Results'!G8="Yes"),'Instructions &amp; Rules'!$K$9,0)</f>
        <v>4</v>
      </c>
      <c r="G8" s="69">
        <f>IF(AND(C8&lt;&gt;"",'Official Results'!C6&lt;&gt;"",C8='Official Results'!C6),1,0)+IF(AND(D8&lt;&gt;"",'Official Results'!C7&lt;&gt;"",D8='Official Results'!C7),1,0)+IF(AND(E8&lt;&gt;"",'Official Results'!C8&lt;&gt;"",'Official Results'!G8="Yes",E8='Official Results'!C8),1,0)</f>
        <v>1</v>
      </c>
      <c r="H8" s="101" t="s">
        <v>172</v>
      </c>
      <c r="I8" s="102" t="s">
        <v>170</v>
      </c>
      <c r="J8" s="103" t="s">
        <v>169</v>
      </c>
      <c r="K8" s="68">
        <f>IF(AND(H8&lt;&gt;"",'Official Results'!J6&lt;&gt;""),IF(H8='Official Results'!J6,'Instructions &amp; Rules'!$K$4,IF(H8='Official Results'!J7,'Instructions &amp; Rules'!$K$6,0)),0)+IF(AND(I8&lt;&gt;"",'Official Results'!J7&lt;&gt;""),IF(I8='Official Results'!J7,'Instructions &amp; Rules'!$K$5,IF(I8='Official Results'!J6,'Instructions &amp; Rules'!$K$6,0)),0)+IF(AND(J8&lt;&gt;"",'Official Results'!J8&lt;&gt;"",'Official Results'!N8="Yes"),IF(J8='Official Results'!J8,'Instructions &amp; Rules'!$K$7,0),0)+IF(AND(H8='Official Results'!J6,I8='Official Results'!J7,'Official Results'!J6&lt;&gt;"",'Official Results'!J7&lt;&gt;""),'Instructions &amp; Rules'!$K$8,0)+IF(AND(H8='Official Results'!J6,I8='Official Results'!J7,J8='Official Results'!J8,'Official Results'!N8="Yes"),'Instructions &amp; Rules'!$K$9,0)</f>
        <v>4</v>
      </c>
      <c r="L8" s="69">
        <f>IF(AND(H8&lt;&gt;"",'Official Results'!J6&lt;&gt;"",H8='Official Results'!J6),1,0)+IF(AND(I8&lt;&gt;"",'Official Results'!J7&lt;&gt;"",I8='Official Results'!J7),1,0)+IF(AND(J8&lt;&gt;"",'Official Results'!J8&lt;&gt;"",'Official Results'!N8="Yes",J8='Official Results'!J8),1,0)</f>
        <v>1</v>
      </c>
      <c r="M8" s="101" t="s">
        <v>174</v>
      </c>
      <c r="N8" s="102" t="s">
        <v>176</v>
      </c>
      <c r="O8" s="103" t="s">
        <v>177</v>
      </c>
      <c r="P8" s="68">
        <f>IF(AND(M8&lt;&gt;"",'Official Results'!Q6&lt;&gt;""),IF(M8='Official Results'!Q6,'Instructions &amp; Rules'!$K$4,IF(M8='Official Results'!Q7,'Instructions &amp; Rules'!$K$6,0)),0)+IF(AND(N8&lt;&gt;"",'Official Results'!Q7&lt;&gt;""),IF(N8='Official Results'!Q7,'Instructions &amp; Rules'!$K$5,IF(N8='Official Results'!Q6,'Instructions &amp; Rules'!$K$6,0)),0)+IF(AND(O8&lt;&gt;"",'Official Results'!Q8&lt;&gt;"",'Official Results'!U8="Yes"),IF(O8='Official Results'!Q8,'Instructions &amp; Rules'!$K$7,0),0)+IF(AND(M8='Official Results'!Q6,N8='Official Results'!Q7,'Official Results'!Q6&lt;&gt;"",'Official Results'!Q7&lt;&gt;""),'Instructions &amp; Rules'!$K$8,0)+IF(AND(M8='Official Results'!Q6,N8='Official Results'!Q7,O8='Official Results'!Q8,'Official Results'!U8="Yes"),'Instructions &amp; Rules'!$K$9,0)</f>
        <v>10</v>
      </c>
      <c r="Q8" s="69">
        <f>IF(AND(M8&lt;&gt;"",'Official Results'!Q6&lt;&gt;"",M8='Official Results'!Q6),1,0)+IF(AND(N8&lt;&gt;"",'Official Results'!Q7&lt;&gt;"",N8='Official Results'!Q7),1,0)+IF(AND(O8&lt;&gt;"",'Official Results'!Q8&lt;&gt;"",'Official Results'!U8="Yes",O8='Official Results'!Q8),1,0)</f>
        <v>2</v>
      </c>
      <c r="R8" s="101" t="s">
        <v>182</v>
      </c>
      <c r="S8" s="102" t="s">
        <v>180</v>
      </c>
      <c r="T8" s="103" t="s">
        <v>179</v>
      </c>
      <c r="U8" s="68">
        <f>IF(AND(R8&lt;&gt;"",'Official Results'!X6&lt;&gt;""),IF(R8='Official Results'!X6,'Instructions &amp; Rules'!$K$4,IF(R8='Official Results'!X7,'Instructions &amp; Rules'!$K$6,0)),0)+IF(AND(S8&lt;&gt;"",'Official Results'!X7&lt;&gt;""),IF(S8='Official Results'!X7,'Instructions &amp; Rules'!$K$5,IF(S8='Official Results'!X6,'Instructions &amp; Rules'!$K$6,0)),0)+IF(AND(T8&lt;&gt;"",'Official Results'!X8&lt;&gt;"",'Official Results'!AB8="Yes"),IF(T8='Official Results'!X8,'Instructions &amp; Rules'!$K$7,0),0)+IF(AND(R8='Official Results'!X6,S8='Official Results'!X7,'Official Results'!X6&lt;&gt;"",'Official Results'!X7&lt;&gt;""),'Instructions &amp; Rules'!$K$8,0)+IF(AND(R8='Official Results'!X6,S8='Official Results'!X7,T8='Official Results'!X8,'Official Results'!AB8="Yes"),'Instructions &amp; Rules'!$K$9,0)</f>
        <v>4</v>
      </c>
      <c r="V8" s="69">
        <f>IF(AND(R8&lt;&gt;"",'Official Results'!X6&lt;&gt;"",R8='Official Results'!X6),1,0)+IF(AND(S8&lt;&gt;"",'Official Results'!X7&lt;&gt;"",S8='Official Results'!X7),1,0)+IF(AND(T8&lt;&gt;"",'Official Results'!X8&lt;&gt;"",'Official Results'!AB8="Yes",T8='Official Results'!X8),1,0)</f>
        <v>1</v>
      </c>
      <c r="W8" s="101" t="s">
        <v>184</v>
      </c>
      <c r="X8" s="102" t="s">
        <v>187</v>
      </c>
      <c r="Y8" s="103" t="s">
        <v>186</v>
      </c>
      <c r="Z8" s="68">
        <f>IF(AND(W8&lt;&gt;"",'Official Results'!C13&lt;&gt;""),IF(W8='Official Results'!C13,'Instructions &amp; Rules'!$K$4,IF(W8='Official Results'!C14,'Instructions &amp; Rules'!$K$6,0)),0)+IF(AND(X8&lt;&gt;"",'Official Results'!C14&lt;&gt;""),IF(X8='Official Results'!C14,'Instructions &amp; Rules'!$K$5,IF(X8='Official Results'!C13,'Instructions &amp; Rules'!$K$6,0)),0)+IF(AND(Y8&lt;&gt;"",'Official Results'!C15&lt;&gt;"",'Official Results'!G15="Yes"),IF(Y8='Official Results'!C15,'Instructions &amp; Rules'!$K$7,0),0)+IF(AND(W8='Official Results'!C13,X8='Official Results'!C14,'Official Results'!C13&lt;&gt;"",'Official Results'!C14&lt;&gt;""),'Instructions &amp; Rules'!$K$8,0)+IF(AND(W8='Official Results'!C13,X8='Official Results'!C14,Y8='Official Results'!C15,'Official Results'!G15="Yes"),'Instructions &amp; Rules'!$K$9,0)</f>
        <v>4</v>
      </c>
      <c r="AA8" s="69">
        <f>IF(AND(W8&lt;&gt;"",'Official Results'!C13&lt;&gt;"",W8='Official Results'!C13),1,0)+IF(AND(X8&lt;&gt;"",'Official Results'!C14&lt;&gt;"",X8='Official Results'!C14),1,0)+IF(AND(Y8&lt;&gt;"",'Official Results'!C15&lt;&gt;"",'Official Results'!G15="Yes",Y8='Official Results'!C15),1,0)</f>
        <v>1</v>
      </c>
      <c r="AB8" s="101" t="s">
        <v>189</v>
      </c>
      <c r="AC8" s="102" t="s">
        <v>190</v>
      </c>
      <c r="AD8" s="103" t="s">
        <v>191</v>
      </c>
      <c r="AE8" s="68">
        <f>IF(AND(AB8&lt;&gt;"",'Official Results'!J13&lt;&gt;""),IF(AB8='Official Results'!J13,'Instructions &amp; Rules'!$K$4,IF(AB8='Official Results'!J14,'Instructions &amp; Rules'!$K$6,0)),0)+IF(AND(AC8&lt;&gt;"",'Official Results'!J14&lt;&gt;""),IF(AC8='Official Results'!J14,'Instructions &amp; Rules'!$K$5,IF(AC8='Official Results'!J13,'Instructions &amp; Rules'!$K$6,0)),0)+IF(AND(AD8&lt;&gt;"",'Official Results'!J15&lt;&gt;"",'Official Results'!N15="Yes"),IF(AD8='Official Results'!J15,'Instructions &amp; Rules'!$K$7,0),0)+IF(AND(AB8='Official Results'!J13,AC8='Official Results'!J14,'Official Results'!J13&lt;&gt;"",'Official Results'!J14&lt;&gt;""),'Instructions &amp; Rules'!$K$8,0)+IF(AND(AB8='Official Results'!J13,AC8='Official Results'!J14,AD8='Official Results'!J15,'Official Results'!N15="Yes"),'Instructions &amp; Rules'!$K$9,0)</f>
        <v>15</v>
      </c>
      <c r="AF8" s="69">
        <f>IF(AND(AB8&lt;&gt;"",'Official Results'!J13&lt;&gt;"",AB8='Official Results'!J13),1,0)+IF(AND(AC8&lt;&gt;"",'Official Results'!J14&lt;&gt;"",AC8='Official Results'!J14),1,0)+IF(AND(AD8&lt;&gt;"",'Official Results'!J15&lt;&gt;"",'Official Results'!N15="Yes",AD8='Official Results'!J15),1,0)</f>
        <v>3</v>
      </c>
      <c r="AG8" s="101" t="s">
        <v>194</v>
      </c>
      <c r="AH8" s="102" t="s">
        <v>196</v>
      </c>
      <c r="AI8" s="103" t="s">
        <v>195</v>
      </c>
      <c r="AJ8" s="68">
        <f>IF(AND(AG8&lt;&gt;"",'Official Results'!Q13&lt;&gt;""),IF(AG8='Official Results'!Q13,'Instructions &amp; Rules'!$K$4,IF(AG8='Official Results'!Q14,'Instructions &amp; Rules'!$K$6,0)),0)+IF(AND(AH8&lt;&gt;"",'Official Results'!Q14&lt;&gt;""),IF(AH8='Official Results'!Q14,'Instructions &amp; Rules'!$K$5,IF(AH8='Official Results'!Q13,'Instructions &amp; Rules'!$K$6,0)),0)+IF(AND(AI8&lt;&gt;"",'Official Results'!Q15&lt;&gt;"",'Official Results'!U15="Yes"),IF(AI8='Official Results'!Q15,'Instructions &amp; Rules'!$K$7,0),0)+IF(AND(AG8='Official Results'!Q13,AH8='Official Results'!Q14,'Official Results'!Q13&lt;&gt;"",'Official Results'!Q14&lt;&gt;""),'Instructions &amp; Rules'!$K$8,0)+IF(AND(AG8='Official Results'!Q13,AH8='Official Results'!Q14,AI8='Official Results'!Q15,'Official Results'!U15="Yes"),'Instructions &amp; Rules'!$K$9,0)</f>
        <v>4</v>
      </c>
      <c r="AK8" s="69">
        <f>IF(AND(AG8&lt;&gt;"",'Official Results'!Q13&lt;&gt;"",AG8='Official Results'!Q13),1,0)+IF(AND(AH8&lt;&gt;"",'Official Results'!Q14&lt;&gt;"",AH8='Official Results'!Q14),1,0)+IF(AND(AI8&lt;&gt;"",'Official Results'!Q15&lt;&gt;"",'Official Results'!U15="Yes",AI8='Official Results'!Q15),1,0)</f>
        <v>1</v>
      </c>
      <c r="AL8" s="101" t="s">
        <v>199</v>
      </c>
      <c r="AM8" s="102" t="s">
        <v>202</v>
      </c>
      <c r="AN8" s="103" t="s">
        <v>201</v>
      </c>
      <c r="AO8" s="68">
        <f>IF(AND(AL8&lt;&gt;"",'Official Results'!X13&lt;&gt;""),IF(AL8='Official Results'!X13,'Instructions &amp; Rules'!$K$4,IF(AL8='Official Results'!X14,'Instructions &amp; Rules'!$K$6,0)),0)+IF(AND(AM8&lt;&gt;"",'Official Results'!X14&lt;&gt;""),IF(AM8='Official Results'!X14,'Instructions &amp; Rules'!$K$5,IF(AM8='Official Results'!X13,'Instructions &amp; Rules'!$K$6,0)),0)+IF(AND(AN8&lt;&gt;"",'Official Results'!X15&lt;&gt;"",'Official Results'!AB15="Yes"),IF(AN8='Official Results'!X15,'Instructions &amp; Rules'!$K$7,0),0)+IF(AND(AL8='Official Results'!X13,AM8='Official Results'!X14,'Official Results'!X13&lt;&gt;"",'Official Results'!X14&lt;&gt;""),'Instructions &amp; Rules'!$K$8,0)+IF(AND(AL8='Official Results'!X13,AM8='Official Results'!X14,AN8='Official Results'!X15,'Official Results'!AB15="Yes"),'Instructions &amp; Rules'!$K$9,0)</f>
        <v>4</v>
      </c>
      <c r="AP8" s="69">
        <f>IF(AND(AL8&lt;&gt;"",'Official Results'!X13&lt;&gt;"",AL8='Official Results'!X13),1,0)+IF(AND(AM8&lt;&gt;"",'Official Results'!X14&lt;&gt;"",AM8='Official Results'!X14),1,0)+IF(AND(AN8&lt;&gt;"",'Official Results'!X15&lt;&gt;"",'Official Results'!AB15="Yes",AN8='Official Results'!X15),1,0)</f>
        <v>1</v>
      </c>
      <c r="AQ8" s="101" t="s">
        <v>204</v>
      </c>
      <c r="AR8" s="102" t="s">
        <v>207</v>
      </c>
      <c r="AS8" s="103" t="s">
        <v>205</v>
      </c>
      <c r="AT8" s="68">
        <f>IF(AND(AQ8&lt;&gt;"",'Official Results'!C20&lt;&gt;""),IF(AQ8='Official Results'!C20,'Instructions &amp; Rules'!$K$4,IF(AQ8='Official Results'!C21,'Instructions &amp; Rules'!$K$6,0)),0)+IF(AND(AR8&lt;&gt;"",'Official Results'!C21&lt;&gt;""),IF(AR8='Official Results'!C21,'Instructions &amp; Rules'!$K$5,IF(AR8='Official Results'!C20,'Instructions &amp; Rules'!$K$6,0)),0)+IF(AND(AS8&lt;&gt;"",'Official Results'!C22&lt;&gt;"",'Official Results'!G22="Yes"),IF(AS8='Official Results'!C22,'Instructions &amp; Rules'!$K$7,0),0)+IF(AND(AQ8='Official Results'!C20,AR8='Official Results'!C21,'Official Results'!C20&lt;&gt;"",'Official Results'!C21&lt;&gt;""),'Instructions &amp; Rules'!$K$8,0)+IF(AND(AQ8='Official Results'!C20,AR8='Official Results'!C21,AS8='Official Results'!C22,'Official Results'!G22="Yes"),'Instructions &amp; Rules'!$K$9,0)</f>
        <v>15</v>
      </c>
      <c r="AU8" s="69">
        <f>IF(AND(AQ8&lt;&gt;"",'Official Results'!C20&lt;&gt;"",AQ8='Official Results'!C20),1,0)+IF(AND(AR8&lt;&gt;"",'Official Results'!C21&lt;&gt;"",AR8='Official Results'!C21),1,0)+IF(AND(AS8&lt;&gt;"",'Official Results'!C22&lt;&gt;"",'Official Results'!G22="Yes",AS8='Official Results'!C22),1,0)</f>
        <v>3</v>
      </c>
      <c r="AV8" s="101" t="s">
        <v>209</v>
      </c>
      <c r="AW8" s="102" t="s">
        <v>210</v>
      </c>
      <c r="AX8" s="103" t="s">
        <v>212</v>
      </c>
      <c r="AY8" s="68">
        <f>IF(AND(AV8&lt;&gt;"",'Official Results'!J20&lt;&gt;""),IF(AV8='Official Results'!J20,'Instructions &amp; Rules'!$K$4,IF(AV8='Official Results'!J21,'Instructions &amp; Rules'!$K$6,0)),0)+IF(AND(AW8&lt;&gt;"",'Official Results'!J21&lt;&gt;""),IF(AW8='Official Results'!J21,'Instructions &amp; Rules'!$K$5,IF(AW8='Official Results'!J20,'Instructions &amp; Rules'!$K$6,0)),0)+IF(AND(AX8&lt;&gt;"",'Official Results'!J22&lt;&gt;"",'Official Results'!N22="Yes"),IF(AX8='Official Results'!J22,'Instructions &amp; Rules'!$K$7,0),0)+IF(AND(AV8='Official Results'!J20,AW8='Official Results'!J21,'Official Results'!J20&lt;&gt;"",'Official Results'!J21&lt;&gt;""),'Instructions &amp; Rules'!$K$8,0)+IF(AND(AV8='Official Results'!J20,AW8='Official Results'!J21,AX8='Official Results'!J22,'Official Results'!N22="Yes"),'Instructions &amp; Rules'!$K$9,0)</f>
        <v>4</v>
      </c>
      <c r="AZ8" s="69">
        <f>IF(AND(AV8&lt;&gt;"",'Official Results'!J20&lt;&gt;"",AV8='Official Results'!J20),1,0)+IF(AND(AW8&lt;&gt;"",'Official Results'!J21&lt;&gt;"",AW8='Official Results'!J21),1,0)+IF(AND(AX8&lt;&gt;"",'Official Results'!J22&lt;&gt;"",'Official Results'!N22="Yes",AX8='Official Results'!J22),1,0)</f>
        <v>1</v>
      </c>
      <c r="BA8" s="101" t="s">
        <v>215</v>
      </c>
      <c r="BB8" s="102" t="s">
        <v>214</v>
      </c>
      <c r="BC8" s="103" t="s">
        <v>216</v>
      </c>
      <c r="BD8" s="68">
        <f>IF(AND(BA8&lt;&gt;"",'Official Results'!Q20&lt;&gt;""),IF(BA8='Official Results'!Q20,'Instructions &amp; Rules'!$K$4,IF(BA8='Official Results'!Q21,'Instructions &amp; Rules'!$K$6,0)),0)+IF(AND(BB8&lt;&gt;"",'Official Results'!Q21&lt;&gt;""),IF(BB8='Official Results'!Q21,'Instructions &amp; Rules'!$K$5,IF(BB8='Official Results'!Q20,'Instructions &amp; Rules'!$K$6,0)),0)+IF(AND(BC8&lt;&gt;"",'Official Results'!Q22&lt;&gt;"",'Official Results'!U22="Yes"),IF(BC8='Official Results'!Q22,'Instructions &amp; Rules'!$K$7,0),0)+IF(AND(BA8='Official Results'!Q20,BB8='Official Results'!Q21,'Official Results'!Q20&lt;&gt;"",'Official Results'!Q21&lt;&gt;""),'Instructions &amp; Rules'!$K$8,0)+IF(AND(BA8='Official Results'!Q20,BB8='Official Results'!Q21,BC8='Official Results'!Q22,'Official Results'!U22="Yes"),'Instructions &amp; Rules'!$K$9,0)</f>
        <v>2</v>
      </c>
      <c r="BE8" s="69">
        <f>IF(AND(BA8&lt;&gt;"",'Official Results'!Q20&lt;&gt;"",BA8='Official Results'!Q20),1,0)+IF(AND(BB8&lt;&gt;"",'Official Results'!Q21&lt;&gt;"",BB8='Official Results'!Q21),1,0)+IF(AND(BC8&lt;&gt;"",'Official Results'!Q22&lt;&gt;"",'Official Results'!U22="Yes",BC8='Official Results'!Q22),1,0)</f>
        <v>0</v>
      </c>
      <c r="BF8" s="101" t="s">
        <v>219</v>
      </c>
      <c r="BG8" s="102" t="s">
        <v>220</v>
      </c>
      <c r="BH8" s="103" t="s">
        <v>221</v>
      </c>
      <c r="BI8" s="68">
        <f>IF(AND(BF8&lt;&gt;"",'Official Results'!X20&lt;&gt;""),IF(BF8='Official Results'!X20,'Instructions &amp; Rules'!$K$4,IF(BF8='Official Results'!X21,'Instructions &amp; Rules'!$K$6,0)),0)+IF(AND(BG8&lt;&gt;"",'Official Results'!X21&lt;&gt;""),IF(BG8='Official Results'!X21,'Instructions &amp; Rules'!$K$5,IF(BG8='Official Results'!X20,'Instructions &amp; Rules'!$K$6,0)),0)+IF(AND(BH8&lt;&gt;"",'Official Results'!X22&lt;&gt;"",'Official Results'!AB22="Yes"),IF(BH8='Official Results'!X22,'Instructions &amp; Rules'!$K$7,0),0)+IF(AND(BF8='Official Results'!X20,BG8='Official Results'!X21,'Official Results'!X20&lt;&gt;"",'Official Results'!X21&lt;&gt;""),'Instructions &amp; Rules'!$K$8,0)+IF(AND(BF8='Official Results'!X20,BG8='Official Results'!X21,BH8='Official Results'!X22,'Official Results'!AB22="Yes"),'Instructions &amp; Rules'!$K$9,0)</f>
        <v>15</v>
      </c>
      <c r="BJ8" s="69">
        <f>IF(AND(BF8&lt;&gt;"",'Official Results'!X20&lt;&gt;"",BF8='Official Results'!X20),1,0)+IF(AND(BG8&lt;&gt;"",'Official Results'!X21&lt;&gt;"",BG8='Official Results'!X21),1,0)+IF(AND(BH8&lt;&gt;"",'Official Results'!X22&lt;&gt;"",'Official Results'!AB22="Yes",BH8='Official Results'!X22),1,0)</f>
        <v>3</v>
      </c>
      <c r="BK8" s="70">
        <f t="shared" si="0"/>
        <v>85</v>
      </c>
      <c r="BL8" s="71">
        <f t="shared" si="1"/>
        <v>18</v>
      </c>
      <c r="BM8" s="72">
        <f t="shared" si="2"/>
        <v>1</v>
      </c>
    </row>
    <row r="9" spans="1:65" ht="31.5" customHeight="1">
      <c r="A9" s="73" t="str">
        <f>IF(Players!B9="","",Players!B9)</f>
        <v>Muhammad Naufal Aiman</v>
      </c>
      <c r="B9" s="86"/>
      <c r="C9" s="101" t="s">
        <v>157</v>
      </c>
      <c r="D9" s="102" t="s">
        <v>160</v>
      </c>
      <c r="E9" s="103" t="s">
        <v>161</v>
      </c>
      <c r="F9" s="68">
        <f>IF(AND(C9&lt;&gt;"",'Official Results'!C6&lt;&gt;""),IF(C9='Official Results'!C6,'Instructions &amp; Rules'!$K$4,IF(C9='Official Results'!C7,'Instructions &amp; Rules'!$K$6,0)),0)+IF(AND(D9&lt;&gt;"",'Official Results'!C7&lt;&gt;""),IF(D9='Official Results'!C7,'Instructions &amp; Rules'!$K$5,IF(D9='Official Results'!C6,'Instructions &amp; Rules'!$K$6,0)),0)+IF(AND(E9&lt;&gt;"",'Official Results'!C8&lt;&gt;"",'Official Results'!G8="Yes"),IF(E9='Official Results'!C8,'Instructions &amp; Rules'!$K$7,0),0)+IF(AND(C9='Official Results'!C6,D9='Official Results'!C7,'Official Results'!C6&lt;&gt;"",'Official Results'!C7&lt;&gt;""),'Instructions &amp; Rules'!$K$8,0)+IF(AND(C9='Official Results'!C6,D9='Official Results'!C7,E9='Official Results'!C8,'Official Results'!G8="Yes"),'Instructions &amp; Rules'!$K$9,0)</f>
        <v>4</v>
      </c>
      <c r="G9" s="69">
        <f>IF(AND(C9&lt;&gt;"",'Official Results'!C6&lt;&gt;"",C9='Official Results'!C6),1,0)+IF(AND(D9&lt;&gt;"",'Official Results'!C7&lt;&gt;"",D9='Official Results'!C7),1,0)+IF(AND(E9&lt;&gt;"",'Official Results'!C8&lt;&gt;"",'Official Results'!G8="Yes",E9='Official Results'!C8),1,0)</f>
        <v>1</v>
      </c>
      <c r="H9" s="101" t="s">
        <v>172</v>
      </c>
      <c r="I9" s="102" t="s">
        <v>169</v>
      </c>
      <c r="J9" s="103" t="s">
        <v>170</v>
      </c>
      <c r="K9" s="68">
        <f>IF(AND(H9&lt;&gt;"",'Official Results'!J6&lt;&gt;""),IF(H9='Official Results'!J6,'Instructions &amp; Rules'!$K$4,IF(H9='Official Results'!J7,'Instructions &amp; Rules'!$K$6,0)),0)+IF(AND(I9&lt;&gt;"",'Official Results'!J7&lt;&gt;""),IF(I9='Official Results'!J7,'Instructions &amp; Rules'!$K$5,IF(I9='Official Results'!J6,'Instructions &amp; Rules'!$K$6,0)),0)+IF(AND(J9&lt;&gt;"",'Official Results'!J8&lt;&gt;"",'Official Results'!N8="Yes"),IF(J9='Official Results'!J8,'Instructions &amp; Rules'!$K$7,0),0)+IF(AND(H9='Official Results'!J6,I9='Official Results'!J7,'Official Results'!J6&lt;&gt;"",'Official Results'!J7&lt;&gt;""),'Instructions &amp; Rules'!$K$8,0)+IF(AND(H9='Official Results'!J6,I9='Official Results'!J7,J9='Official Results'!J8,'Official Results'!N8="Yes"),'Instructions &amp; Rules'!$K$9,0)</f>
        <v>15</v>
      </c>
      <c r="L9" s="69">
        <f>IF(AND(H9&lt;&gt;"",'Official Results'!J6&lt;&gt;"",H9='Official Results'!J6),1,0)+IF(AND(I9&lt;&gt;"",'Official Results'!J7&lt;&gt;"",I9='Official Results'!J7),1,0)+IF(AND(J9&lt;&gt;"",'Official Results'!J8&lt;&gt;"",'Official Results'!N8="Yes",J9='Official Results'!J8),1,0)</f>
        <v>3</v>
      </c>
      <c r="M9" s="101" t="s">
        <v>174</v>
      </c>
      <c r="N9" s="102" t="s">
        <v>176</v>
      </c>
      <c r="O9" s="103" t="s">
        <v>177</v>
      </c>
      <c r="P9" s="68">
        <f>IF(AND(M9&lt;&gt;"",'Official Results'!Q6&lt;&gt;""),IF(M9='Official Results'!Q6,'Instructions &amp; Rules'!$K$4,IF(M9='Official Results'!Q7,'Instructions &amp; Rules'!$K$6,0)),0)+IF(AND(N9&lt;&gt;"",'Official Results'!Q7&lt;&gt;""),IF(N9='Official Results'!Q7,'Instructions &amp; Rules'!$K$5,IF(N9='Official Results'!Q6,'Instructions &amp; Rules'!$K$6,0)),0)+IF(AND(O9&lt;&gt;"",'Official Results'!Q8&lt;&gt;"",'Official Results'!U8="Yes"),IF(O9='Official Results'!Q8,'Instructions &amp; Rules'!$K$7,0),0)+IF(AND(M9='Official Results'!Q6,N9='Official Results'!Q7,'Official Results'!Q6&lt;&gt;"",'Official Results'!Q7&lt;&gt;""),'Instructions &amp; Rules'!$K$8,0)+IF(AND(M9='Official Results'!Q6,N9='Official Results'!Q7,O9='Official Results'!Q8,'Official Results'!U8="Yes"),'Instructions &amp; Rules'!$K$9,0)</f>
        <v>10</v>
      </c>
      <c r="Q9" s="69">
        <f>IF(AND(M9&lt;&gt;"",'Official Results'!Q6&lt;&gt;"",M9='Official Results'!Q6),1,0)+IF(AND(N9&lt;&gt;"",'Official Results'!Q7&lt;&gt;"",N9='Official Results'!Q7),1,0)+IF(AND(O9&lt;&gt;"",'Official Results'!Q8&lt;&gt;"",'Official Results'!U8="Yes",O9='Official Results'!Q8),1,0)</f>
        <v>2</v>
      </c>
      <c r="R9" s="101" t="s">
        <v>179</v>
      </c>
      <c r="S9" s="102" t="s">
        <v>182</v>
      </c>
      <c r="T9" s="103" t="s">
        <v>180</v>
      </c>
      <c r="U9" s="68">
        <f>IF(AND(R9&lt;&gt;"",'Official Results'!X6&lt;&gt;""),IF(R9='Official Results'!X6,'Instructions &amp; Rules'!$K$4,IF(R9='Official Results'!X7,'Instructions &amp; Rules'!$K$6,0)),0)+IF(AND(S9&lt;&gt;"",'Official Results'!X7&lt;&gt;""),IF(S9='Official Results'!X7,'Instructions &amp; Rules'!$K$5,IF(S9='Official Results'!X6,'Instructions &amp; Rules'!$K$6,0)),0)+IF(AND(T9&lt;&gt;"",'Official Results'!X8&lt;&gt;"",'Official Results'!AB8="Yes"),IF(T9='Official Results'!X8,'Instructions &amp; Rules'!$K$7,0),0)+IF(AND(R9='Official Results'!X6,S9='Official Results'!X7,'Official Results'!X6&lt;&gt;"",'Official Results'!X7&lt;&gt;""),'Instructions &amp; Rules'!$K$8,0)+IF(AND(R9='Official Results'!X6,S9='Official Results'!X7,T9='Official Results'!X8,'Official Results'!AB8="Yes"),'Instructions &amp; Rules'!$K$9,0)</f>
        <v>4</v>
      </c>
      <c r="V9" s="69">
        <f>IF(AND(R9&lt;&gt;"",'Official Results'!X6&lt;&gt;"",R9='Official Results'!X6),1,0)+IF(AND(S9&lt;&gt;"",'Official Results'!X7&lt;&gt;"",S9='Official Results'!X7),1,0)+IF(AND(T9&lt;&gt;"",'Official Results'!X8&lt;&gt;"",'Official Results'!AB8="Yes",T9='Official Results'!X8),1,0)</f>
        <v>1</v>
      </c>
      <c r="W9" s="101" t="s">
        <v>184</v>
      </c>
      <c r="X9" s="102" t="s">
        <v>186</v>
      </c>
      <c r="Y9" s="103" t="s">
        <v>187</v>
      </c>
      <c r="Z9" s="68">
        <f>IF(AND(W9&lt;&gt;"",'Official Results'!C13&lt;&gt;""),IF(W9='Official Results'!C13,'Instructions &amp; Rules'!$K$4,IF(W9='Official Results'!C14,'Instructions &amp; Rules'!$K$6,0)),0)+IF(AND(X9&lt;&gt;"",'Official Results'!C14&lt;&gt;""),IF(X9='Official Results'!C14,'Instructions &amp; Rules'!$K$5,IF(X9='Official Results'!C13,'Instructions &amp; Rules'!$K$6,0)),0)+IF(AND(Y9&lt;&gt;"",'Official Results'!C15&lt;&gt;"",'Official Results'!G15="Yes"),IF(Y9='Official Results'!C15,'Instructions &amp; Rules'!$K$7,0),0)+IF(AND(W9='Official Results'!C13,X9='Official Results'!C14,'Official Results'!C13&lt;&gt;"",'Official Results'!C14&lt;&gt;""),'Instructions &amp; Rules'!$K$8,0)+IF(AND(W9='Official Results'!C13,X9='Official Results'!C14,Y9='Official Results'!C15,'Official Results'!G15="Yes"),'Instructions &amp; Rules'!$K$9,0)</f>
        <v>15</v>
      </c>
      <c r="AA9" s="69">
        <f>IF(AND(W9&lt;&gt;"",'Official Results'!C13&lt;&gt;"",W9='Official Results'!C13),1,0)+IF(AND(X9&lt;&gt;"",'Official Results'!C14&lt;&gt;"",X9='Official Results'!C14),1,0)+IF(AND(Y9&lt;&gt;"",'Official Results'!C15&lt;&gt;"",'Official Results'!G15="Yes",Y9='Official Results'!C15),1,0)</f>
        <v>3</v>
      </c>
      <c r="AB9" s="101" t="s">
        <v>189</v>
      </c>
      <c r="AC9" s="102" t="s">
        <v>190</v>
      </c>
      <c r="AD9" s="103" t="s">
        <v>191</v>
      </c>
      <c r="AE9" s="68">
        <f>IF(AND(AB9&lt;&gt;"",'Official Results'!J13&lt;&gt;""),IF(AB9='Official Results'!J13,'Instructions &amp; Rules'!$K$4,IF(AB9='Official Results'!J14,'Instructions &amp; Rules'!$K$6,0)),0)+IF(AND(AC9&lt;&gt;"",'Official Results'!J14&lt;&gt;""),IF(AC9='Official Results'!J14,'Instructions &amp; Rules'!$K$5,IF(AC9='Official Results'!J13,'Instructions &amp; Rules'!$K$6,0)),0)+IF(AND(AD9&lt;&gt;"",'Official Results'!J15&lt;&gt;"",'Official Results'!N15="Yes"),IF(AD9='Official Results'!J15,'Instructions &amp; Rules'!$K$7,0),0)+IF(AND(AB9='Official Results'!J13,AC9='Official Results'!J14,'Official Results'!J13&lt;&gt;"",'Official Results'!J14&lt;&gt;""),'Instructions &amp; Rules'!$K$8,0)+IF(AND(AB9='Official Results'!J13,AC9='Official Results'!J14,AD9='Official Results'!J15,'Official Results'!N15="Yes"),'Instructions &amp; Rules'!$K$9,0)</f>
        <v>15</v>
      </c>
      <c r="AF9" s="69">
        <f>IF(AND(AB9&lt;&gt;"",'Official Results'!J13&lt;&gt;"",AB9='Official Results'!J13),1,0)+IF(AND(AC9&lt;&gt;"",'Official Results'!J14&lt;&gt;"",AC9='Official Results'!J14),1,0)+IF(AND(AD9&lt;&gt;"",'Official Results'!J15&lt;&gt;"",'Official Results'!N15="Yes",AD9='Official Results'!J15),1,0)</f>
        <v>3</v>
      </c>
      <c r="AG9" s="101" t="s">
        <v>194</v>
      </c>
      <c r="AH9" s="102" t="s">
        <v>195</v>
      </c>
      <c r="AI9" s="103" t="s">
        <v>196</v>
      </c>
      <c r="AJ9" s="68">
        <f>IF(AND(AG9&lt;&gt;"",'Official Results'!Q13&lt;&gt;""),IF(AG9='Official Results'!Q13,'Instructions &amp; Rules'!$K$4,IF(AG9='Official Results'!Q14,'Instructions &amp; Rules'!$K$6,0)),0)+IF(AND(AH9&lt;&gt;"",'Official Results'!Q14&lt;&gt;""),IF(AH9='Official Results'!Q14,'Instructions &amp; Rules'!$K$5,IF(AH9='Official Results'!Q13,'Instructions &amp; Rules'!$K$6,0)),0)+IF(AND(AI9&lt;&gt;"",'Official Results'!Q15&lt;&gt;"",'Official Results'!U15="Yes"),IF(AI9='Official Results'!Q15,'Instructions &amp; Rules'!$K$7,0),0)+IF(AND(AG9='Official Results'!Q13,AH9='Official Results'!Q14,'Official Results'!Q13&lt;&gt;"",'Official Results'!Q14&lt;&gt;""),'Instructions &amp; Rules'!$K$8,0)+IF(AND(AG9='Official Results'!Q13,AH9='Official Results'!Q14,AI9='Official Results'!Q15,'Official Results'!U15="Yes"),'Instructions &amp; Rules'!$K$9,0)</f>
        <v>10</v>
      </c>
      <c r="AK9" s="69">
        <f>IF(AND(AG9&lt;&gt;"",'Official Results'!Q13&lt;&gt;"",AG9='Official Results'!Q13),1,0)+IF(AND(AH9&lt;&gt;"",'Official Results'!Q14&lt;&gt;"",AH9='Official Results'!Q14),1,0)+IF(AND(AI9&lt;&gt;"",'Official Results'!Q15&lt;&gt;"",'Official Results'!U15="Yes",AI9='Official Results'!Q15),1,0)</f>
        <v>2</v>
      </c>
      <c r="AL9" s="101" t="s">
        <v>199</v>
      </c>
      <c r="AM9" s="102" t="s">
        <v>202</v>
      </c>
      <c r="AN9" s="103" t="s">
        <v>201</v>
      </c>
      <c r="AO9" s="68">
        <f>IF(AND(AL9&lt;&gt;"",'Official Results'!X13&lt;&gt;""),IF(AL9='Official Results'!X13,'Instructions &amp; Rules'!$K$4,IF(AL9='Official Results'!X14,'Instructions &amp; Rules'!$K$6,0)),0)+IF(AND(AM9&lt;&gt;"",'Official Results'!X14&lt;&gt;""),IF(AM9='Official Results'!X14,'Instructions &amp; Rules'!$K$5,IF(AM9='Official Results'!X13,'Instructions &amp; Rules'!$K$6,0)),0)+IF(AND(AN9&lt;&gt;"",'Official Results'!X15&lt;&gt;"",'Official Results'!AB15="Yes"),IF(AN9='Official Results'!X15,'Instructions &amp; Rules'!$K$7,0),0)+IF(AND(AL9='Official Results'!X13,AM9='Official Results'!X14,'Official Results'!X13&lt;&gt;"",'Official Results'!X14&lt;&gt;""),'Instructions &amp; Rules'!$K$8,0)+IF(AND(AL9='Official Results'!X13,AM9='Official Results'!X14,AN9='Official Results'!X15,'Official Results'!AB15="Yes"),'Instructions &amp; Rules'!$K$9,0)</f>
        <v>4</v>
      </c>
      <c r="AP9" s="69">
        <f>IF(AND(AL9&lt;&gt;"",'Official Results'!X13&lt;&gt;"",AL9='Official Results'!X13),1,0)+IF(AND(AM9&lt;&gt;"",'Official Results'!X14&lt;&gt;"",AM9='Official Results'!X14),1,0)+IF(AND(AN9&lt;&gt;"",'Official Results'!X15&lt;&gt;"",'Official Results'!AB15="Yes",AN9='Official Results'!X15),1,0)</f>
        <v>1</v>
      </c>
      <c r="AQ9" s="101" t="s">
        <v>204</v>
      </c>
      <c r="AR9" s="102" t="s">
        <v>207</v>
      </c>
      <c r="AS9" s="103" t="s">
        <v>205</v>
      </c>
      <c r="AT9" s="68">
        <f>IF(AND(AQ9&lt;&gt;"",'Official Results'!C20&lt;&gt;""),IF(AQ9='Official Results'!C20,'Instructions &amp; Rules'!$K$4,IF(AQ9='Official Results'!C21,'Instructions &amp; Rules'!$K$6,0)),0)+IF(AND(AR9&lt;&gt;"",'Official Results'!C21&lt;&gt;""),IF(AR9='Official Results'!C21,'Instructions &amp; Rules'!$K$5,IF(AR9='Official Results'!C20,'Instructions &amp; Rules'!$K$6,0)),0)+IF(AND(AS9&lt;&gt;"",'Official Results'!C22&lt;&gt;"",'Official Results'!G22="Yes"),IF(AS9='Official Results'!C22,'Instructions &amp; Rules'!$K$7,0),0)+IF(AND(AQ9='Official Results'!C20,AR9='Official Results'!C21,'Official Results'!C20&lt;&gt;"",'Official Results'!C21&lt;&gt;""),'Instructions &amp; Rules'!$K$8,0)+IF(AND(AQ9='Official Results'!C20,AR9='Official Results'!C21,AS9='Official Results'!C22,'Official Results'!G22="Yes"),'Instructions &amp; Rules'!$K$9,0)</f>
        <v>15</v>
      </c>
      <c r="AU9" s="69">
        <f>IF(AND(AQ9&lt;&gt;"",'Official Results'!C20&lt;&gt;"",AQ9='Official Results'!C20),1,0)+IF(AND(AR9&lt;&gt;"",'Official Results'!C21&lt;&gt;"",AR9='Official Results'!C21),1,0)+IF(AND(AS9&lt;&gt;"",'Official Results'!C22&lt;&gt;"",'Official Results'!G22="Yes",AS9='Official Results'!C22),1,0)</f>
        <v>3</v>
      </c>
      <c r="AV9" s="101" t="s">
        <v>209</v>
      </c>
      <c r="AW9" s="102" t="s">
        <v>210</v>
      </c>
      <c r="AX9" s="103" t="s">
        <v>211</v>
      </c>
      <c r="AY9" s="68">
        <f>IF(AND(AV9&lt;&gt;"",'Official Results'!J20&lt;&gt;""),IF(AV9='Official Results'!J20,'Instructions &amp; Rules'!$K$4,IF(AV9='Official Results'!J21,'Instructions &amp; Rules'!$K$6,0)),0)+IF(AND(AW9&lt;&gt;"",'Official Results'!J21&lt;&gt;""),IF(AW9='Official Results'!J21,'Instructions &amp; Rules'!$K$5,IF(AW9='Official Results'!J20,'Instructions &amp; Rules'!$K$6,0)),0)+IF(AND(AX9&lt;&gt;"",'Official Results'!J22&lt;&gt;"",'Official Results'!N22="Yes"),IF(AX9='Official Results'!J22,'Instructions &amp; Rules'!$K$7,0),0)+IF(AND(AV9='Official Results'!J20,AW9='Official Results'!J21,'Official Results'!J20&lt;&gt;"",'Official Results'!J21&lt;&gt;""),'Instructions &amp; Rules'!$K$8,0)+IF(AND(AV9='Official Results'!J20,AW9='Official Results'!J21,AX9='Official Results'!J22,'Official Results'!N22="Yes"),'Instructions &amp; Rules'!$K$9,0)</f>
        <v>4</v>
      </c>
      <c r="AZ9" s="69">
        <f>IF(AND(AV9&lt;&gt;"",'Official Results'!J20&lt;&gt;"",AV9='Official Results'!J20),1,0)+IF(AND(AW9&lt;&gt;"",'Official Results'!J21&lt;&gt;"",AW9='Official Results'!J21),1,0)+IF(AND(AX9&lt;&gt;"",'Official Results'!J22&lt;&gt;"",'Official Results'!N22="Yes",AX9='Official Results'!J22),1,0)</f>
        <v>1</v>
      </c>
      <c r="BA9" s="101" t="s">
        <v>215</v>
      </c>
      <c r="BB9" s="102" t="s">
        <v>214</v>
      </c>
      <c r="BC9" s="103" t="s">
        <v>216</v>
      </c>
      <c r="BD9" s="68">
        <f>IF(AND(BA9&lt;&gt;"",'Official Results'!Q20&lt;&gt;""),IF(BA9='Official Results'!Q20,'Instructions &amp; Rules'!$K$4,IF(BA9='Official Results'!Q21,'Instructions &amp; Rules'!$K$6,0)),0)+IF(AND(BB9&lt;&gt;"",'Official Results'!Q21&lt;&gt;""),IF(BB9='Official Results'!Q21,'Instructions &amp; Rules'!$K$5,IF(BB9='Official Results'!Q20,'Instructions &amp; Rules'!$K$6,0)),0)+IF(AND(BC9&lt;&gt;"",'Official Results'!Q22&lt;&gt;"",'Official Results'!U22="Yes"),IF(BC9='Official Results'!Q22,'Instructions &amp; Rules'!$K$7,0),0)+IF(AND(BA9='Official Results'!Q20,BB9='Official Results'!Q21,'Official Results'!Q20&lt;&gt;"",'Official Results'!Q21&lt;&gt;""),'Instructions &amp; Rules'!$K$8,0)+IF(AND(BA9='Official Results'!Q20,BB9='Official Results'!Q21,BC9='Official Results'!Q22,'Official Results'!U22="Yes"),'Instructions &amp; Rules'!$K$9,0)</f>
        <v>2</v>
      </c>
      <c r="BE9" s="69">
        <f>IF(AND(BA9&lt;&gt;"",'Official Results'!Q20&lt;&gt;"",BA9='Official Results'!Q20),1,0)+IF(AND(BB9&lt;&gt;"",'Official Results'!Q21&lt;&gt;"",BB9='Official Results'!Q21),1,0)+IF(AND(BC9&lt;&gt;"",'Official Results'!Q22&lt;&gt;"",'Official Results'!U22="Yes",BC9='Official Results'!Q22),1,0)</f>
        <v>0</v>
      </c>
      <c r="BF9" s="101" t="s">
        <v>219</v>
      </c>
      <c r="BG9" s="102" t="s">
        <v>220</v>
      </c>
      <c r="BH9" s="103" t="s">
        <v>221</v>
      </c>
      <c r="BI9" s="68">
        <f>IF(AND(BF9&lt;&gt;"",'Official Results'!X20&lt;&gt;""),IF(BF9='Official Results'!X20,'Instructions &amp; Rules'!$K$4,IF(BF9='Official Results'!X21,'Instructions &amp; Rules'!$K$6,0)),0)+IF(AND(BG9&lt;&gt;"",'Official Results'!X21&lt;&gt;""),IF(BG9='Official Results'!X21,'Instructions &amp; Rules'!$K$5,IF(BG9='Official Results'!X20,'Instructions &amp; Rules'!$K$6,0)),0)+IF(AND(BH9&lt;&gt;"",'Official Results'!X22&lt;&gt;"",'Official Results'!AB22="Yes"),IF(BH9='Official Results'!X22,'Instructions &amp; Rules'!$K$7,0),0)+IF(AND(BF9='Official Results'!X20,BG9='Official Results'!X21,'Official Results'!X20&lt;&gt;"",'Official Results'!X21&lt;&gt;""),'Instructions &amp; Rules'!$K$8,0)+IF(AND(BF9='Official Results'!X20,BG9='Official Results'!X21,BH9='Official Results'!X22,'Official Results'!AB22="Yes"),'Instructions &amp; Rules'!$K$9,0)</f>
        <v>15</v>
      </c>
      <c r="BJ9" s="69">
        <f>IF(AND(BF9&lt;&gt;"",'Official Results'!X20&lt;&gt;"",BF9='Official Results'!X20),1,0)+IF(AND(BG9&lt;&gt;"",'Official Results'!X21&lt;&gt;"",BG9='Official Results'!X21),1,0)+IF(AND(BH9&lt;&gt;"",'Official Results'!X22&lt;&gt;"",'Official Results'!AB22="Yes",BH9='Official Results'!X22),1,0)</f>
        <v>3</v>
      </c>
      <c r="BK9" s="70">
        <f t="shared" si="0"/>
        <v>113</v>
      </c>
      <c r="BL9" s="71">
        <f t="shared" si="1"/>
        <v>23</v>
      </c>
      <c r="BM9" s="72">
        <f t="shared" si="2"/>
        <v>1</v>
      </c>
    </row>
    <row r="10" spans="1:65" ht="15" customHeight="1">
      <c r="A10" s="73" t="str">
        <f>IF(Players!B10="","",Players!B10)</f>
        <v>Ahade</v>
      </c>
      <c r="B10" s="86"/>
      <c r="C10" s="101" t="s">
        <v>157</v>
      </c>
      <c r="D10" s="102" t="s">
        <v>160</v>
      </c>
      <c r="E10" s="103" t="s">
        <v>158</v>
      </c>
      <c r="F10" s="68">
        <f>IF(AND(C10&lt;&gt;"",'Official Results'!C6&lt;&gt;""),IF(C10='Official Results'!C6,'Instructions &amp; Rules'!$K$4,IF(C10='Official Results'!C7,'Instructions &amp; Rules'!$K$6,0)),0)+IF(AND(D10&lt;&gt;"",'Official Results'!C7&lt;&gt;""),IF(D10='Official Results'!C7,'Instructions &amp; Rules'!$K$5,IF(D10='Official Results'!C6,'Instructions &amp; Rules'!$K$6,0)),0)+IF(AND(E10&lt;&gt;"",'Official Results'!C8&lt;&gt;"",'Official Results'!G8="Yes"),IF(E10='Official Results'!C8,'Instructions &amp; Rules'!$K$7,0),0)+IF(AND(C10='Official Results'!C6,D10='Official Results'!C7,'Official Results'!C6&lt;&gt;"",'Official Results'!C7&lt;&gt;""),'Instructions &amp; Rules'!$K$8,0)+IF(AND(C10='Official Results'!C6,D10='Official Results'!C7,E10='Official Results'!C8,'Official Results'!G8="Yes"),'Instructions &amp; Rules'!$K$9,0)</f>
        <v>4</v>
      </c>
      <c r="G10" s="69">
        <f>IF(AND(C10&lt;&gt;"",'Official Results'!C6&lt;&gt;"",C10='Official Results'!C6),1,0)+IF(AND(D10&lt;&gt;"",'Official Results'!C7&lt;&gt;"",D10='Official Results'!C7),1,0)+IF(AND(E10&lt;&gt;"",'Official Results'!C8&lt;&gt;"",'Official Results'!G8="Yes",E10='Official Results'!C8),1,0)</f>
        <v>1</v>
      </c>
      <c r="H10" s="101" t="s">
        <v>169</v>
      </c>
      <c r="I10" s="102" t="s">
        <v>172</v>
      </c>
      <c r="J10" s="103" t="s">
        <v>171</v>
      </c>
      <c r="K10" s="68">
        <f>IF(AND(H10&lt;&gt;"",'Official Results'!J6&lt;&gt;""),IF(H10='Official Results'!J6,'Instructions &amp; Rules'!$K$4,IF(H10='Official Results'!J7,'Instructions &amp; Rules'!$K$6,0)),0)+IF(AND(I10&lt;&gt;"",'Official Results'!J7&lt;&gt;""),IF(I10='Official Results'!J7,'Instructions &amp; Rules'!$K$5,IF(I10='Official Results'!J6,'Instructions &amp; Rules'!$K$6,0)),0)+IF(AND(J10&lt;&gt;"",'Official Results'!J8&lt;&gt;"",'Official Results'!N8="Yes"),IF(J10='Official Results'!J8,'Instructions &amp; Rules'!$K$7,0),0)+IF(AND(H10='Official Results'!J6,I10='Official Results'!J7,'Official Results'!J6&lt;&gt;"",'Official Results'!J7&lt;&gt;""),'Instructions &amp; Rules'!$K$8,0)+IF(AND(H10='Official Results'!J6,I10='Official Results'!J7,J10='Official Results'!J8,'Official Results'!N8="Yes"),'Instructions &amp; Rules'!$K$9,0)</f>
        <v>2</v>
      </c>
      <c r="L10" s="69">
        <f>IF(AND(H10&lt;&gt;"",'Official Results'!J6&lt;&gt;"",H10='Official Results'!J6),1,0)+IF(AND(I10&lt;&gt;"",'Official Results'!J7&lt;&gt;"",I10='Official Results'!J7),1,0)+IF(AND(J10&lt;&gt;"",'Official Results'!J8&lt;&gt;"",'Official Results'!N8="Yes",J10='Official Results'!J8),1,0)</f>
        <v>0</v>
      </c>
      <c r="M10" s="101" t="s">
        <v>174</v>
      </c>
      <c r="N10" s="102" t="s">
        <v>176</v>
      </c>
      <c r="O10" s="103" t="s">
        <v>177</v>
      </c>
      <c r="P10" s="68">
        <f>IF(AND(M10&lt;&gt;"",'Official Results'!Q6&lt;&gt;""),IF(M10='Official Results'!Q6,'Instructions &amp; Rules'!$K$4,IF(M10='Official Results'!Q7,'Instructions &amp; Rules'!$K$6,0)),0)+IF(AND(N10&lt;&gt;"",'Official Results'!Q7&lt;&gt;""),IF(N10='Official Results'!Q7,'Instructions &amp; Rules'!$K$5,IF(N10='Official Results'!Q6,'Instructions &amp; Rules'!$K$6,0)),0)+IF(AND(O10&lt;&gt;"",'Official Results'!Q8&lt;&gt;"",'Official Results'!U8="Yes"),IF(O10='Official Results'!Q8,'Instructions &amp; Rules'!$K$7,0),0)+IF(AND(M10='Official Results'!Q6,N10='Official Results'!Q7,'Official Results'!Q6&lt;&gt;"",'Official Results'!Q7&lt;&gt;""),'Instructions &amp; Rules'!$K$8,0)+IF(AND(M10='Official Results'!Q6,N10='Official Results'!Q7,O10='Official Results'!Q8,'Official Results'!U8="Yes"),'Instructions &amp; Rules'!$K$9,0)</f>
        <v>10</v>
      </c>
      <c r="Q10" s="69">
        <f>IF(AND(M10&lt;&gt;"",'Official Results'!Q6&lt;&gt;"",M10='Official Results'!Q6),1,0)+IF(AND(N10&lt;&gt;"",'Official Results'!Q7&lt;&gt;"",N10='Official Results'!Q7),1,0)+IF(AND(O10&lt;&gt;"",'Official Results'!Q8&lt;&gt;"",'Official Results'!U8="Yes",O10='Official Results'!Q8),1,0)</f>
        <v>2</v>
      </c>
      <c r="R10" s="101" t="s">
        <v>181</v>
      </c>
      <c r="S10" s="102" t="s">
        <v>182</v>
      </c>
      <c r="T10" s="103" t="s">
        <v>180</v>
      </c>
      <c r="U10" s="68">
        <f>IF(AND(R10&lt;&gt;"",'Official Results'!X6&lt;&gt;""),IF(R10='Official Results'!X6,'Instructions &amp; Rules'!$K$4,IF(R10='Official Results'!X7,'Instructions &amp; Rules'!$K$6,0)),0)+IF(AND(S10&lt;&gt;"",'Official Results'!X7&lt;&gt;""),IF(S10='Official Results'!X7,'Instructions &amp; Rules'!$K$5,IF(S10='Official Results'!X6,'Instructions &amp; Rules'!$K$6,0)),0)+IF(AND(T10&lt;&gt;"",'Official Results'!X8&lt;&gt;"",'Official Results'!AB8="Yes"),IF(T10='Official Results'!X8,'Instructions &amp; Rules'!$K$7,0),0)+IF(AND(R10='Official Results'!X6,S10='Official Results'!X7,'Official Results'!X6&lt;&gt;"",'Official Results'!X7&lt;&gt;""),'Instructions &amp; Rules'!$K$8,0)+IF(AND(R10='Official Results'!X6,S10='Official Results'!X7,T10='Official Results'!X8,'Official Results'!AB8="Yes"),'Instructions &amp; Rules'!$K$9,0)</f>
        <v>0</v>
      </c>
      <c r="V10" s="69">
        <f>IF(AND(R10&lt;&gt;"",'Official Results'!X6&lt;&gt;"",R10='Official Results'!X6),1,0)+IF(AND(S10&lt;&gt;"",'Official Results'!X7&lt;&gt;"",S10='Official Results'!X7),1,0)+IF(AND(T10&lt;&gt;"",'Official Results'!X8&lt;&gt;"",'Official Results'!AB8="Yes",T10='Official Results'!X8),1,0)</f>
        <v>0</v>
      </c>
      <c r="W10" s="101" t="s">
        <v>184</v>
      </c>
      <c r="X10" s="102" t="s">
        <v>186</v>
      </c>
      <c r="Y10" s="103" t="s">
        <v>187</v>
      </c>
      <c r="Z10" s="68">
        <f>IF(AND(W10&lt;&gt;"",'Official Results'!C13&lt;&gt;""),IF(W10='Official Results'!C13,'Instructions &amp; Rules'!$K$4,IF(W10='Official Results'!C14,'Instructions &amp; Rules'!$K$6,0)),0)+IF(AND(X10&lt;&gt;"",'Official Results'!C14&lt;&gt;""),IF(X10='Official Results'!C14,'Instructions &amp; Rules'!$K$5,IF(X10='Official Results'!C13,'Instructions &amp; Rules'!$K$6,0)),0)+IF(AND(Y10&lt;&gt;"",'Official Results'!C15&lt;&gt;"",'Official Results'!G15="Yes"),IF(Y10='Official Results'!C15,'Instructions &amp; Rules'!$K$7,0),0)+IF(AND(W10='Official Results'!C13,X10='Official Results'!C14,'Official Results'!C13&lt;&gt;"",'Official Results'!C14&lt;&gt;""),'Instructions &amp; Rules'!$K$8,0)+IF(AND(W10='Official Results'!C13,X10='Official Results'!C14,Y10='Official Results'!C15,'Official Results'!G15="Yes"),'Instructions &amp; Rules'!$K$9,0)</f>
        <v>15</v>
      </c>
      <c r="AA10" s="69">
        <f>IF(AND(W10&lt;&gt;"",'Official Results'!C13&lt;&gt;"",W10='Official Results'!C13),1,0)+IF(AND(X10&lt;&gt;"",'Official Results'!C14&lt;&gt;"",X10='Official Results'!C14),1,0)+IF(AND(Y10&lt;&gt;"",'Official Results'!C15&lt;&gt;"",'Official Results'!G15="Yes",Y10='Official Results'!C15),1,0)</f>
        <v>3</v>
      </c>
      <c r="AB10" s="105" t="s">
        <v>190</v>
      </c>
      <c r="AC10" s="102" t="s">
        <v>189</v>
      </c>
      <c r="AD10" s="103" t="s">
        <v>191</v>
      </c>
      <c r="AE10" s="68">
        <f>IF(AND(AB10&lt;&gt;"",'Official Results'!J13&lt;&gt;""),IF(AB10='Official Results'!J13,'Instructions &amp; Rules'!$K$4,IF(AB10='Official Results'!J14,'Instructions &amp; Rules'!$K$6,0)),0)+IF(AND(AC10&lt;&gt;"",'Official Results'!J14&lt;&gt;""),IF(AC10='Official Results'!J14,'Instructions &amp; Rules'!$K$5,IF(AC10='Official Results'!J13,'Instructions &amp; Rules'!$K$6,0)),0)+IF(AND(AD10&lt;&gt;"",'Official Results'!J15&lt;&gt;"",'Official Results'!N15="Yes"),IF(AD10='Official Results'!J15,'Instructions &amp; Rules'!$K$7,0),0)+IF(AND(AB10='Official Results'!J13,AC10='Official Results'!J14,'Official Results'!J13&lt;&gt;"",'Official Results'!J14&lt;&gt;""),'Instructions &amp; Rules'!$K$8,0)+IF(AND(AB10='Official Results'!J13,AC10='Official Results'!J14,AD10='Official Results'!J15,'Official Results'!N15="Yes"),'Instructions &amp; Rules'!$K$9,0)</f>
        <v>4</v>
      </c>
      <c r="AF10" s="69">
        <f>IF(AND(AB10&lt;&gt;"",'Official Results'!J13&lt;&gt;"",AB10='Official Results'!J13),1,0)+IF(AND(AC10&lt;&gt;"",'Official Results'!J14&lt;&gt;"",AC10='Official Results'!J14),1,0)+IF(AND(AD10&lt;&gt;"",'Official Results'!J15&lt;&gt;"",'Official Results'!N15="Yes",AD10='Official Results'!J15),1,0)</f>
        <v>1</v>
      </c>
      <c r="AG10" s="101" t="s">
        <v>194</v>
      </c>
      <c r="AH10" s="102" t="s">
        <v>195</v>
      </c>
      <c r="AI10" s="103" t="s">
        <v>196</v>
      </c>
      <c r="AJ10" s="68">
        <f>IF(AND(AG10&lt;&gt;"",'Official Results'!Q13&lt;&gt;""),IF(AG10='Official Results'!Q13,'Instructions &amp; Rules'!$K$4,IF(AG10='Official Results'!Q14,'Instructions &amp; Rules'!$K$6,0)),0)+IF(AND(AH10&lt;&gt;"",'Official Results'!Q14&lt;&gt;""),IF(AH10='Official Results'!Q14,'Instructions &amp; Rules'!$K$5,IF(AH10='Official Results'!Q13,'Instructions &amp; Rules'!$K$6,0)),0)+IF(AND(AI10&lt;&gt;"",'Official Results'!Q15&lt;&gt;"",'Official Results'!U15="Yes"),IF(AI10='Official Results'!Q15,'Instructions &amp; Rules'!$K$7,0),0)+IF(AND(AG10='Official Results'!Q13,AH10='Official Results'!Q14,'Official Results'!Q13&lt;&gt;"",'Official Results'!Q14&lt;&gt;""),'Instructions &amp; Rules'!$K$8,0)+IF(AND(AG10='Official Results'!Q13,AH10='Official Results'!Q14,AI10='Official Results'!Q15,'Official Results'!U15="Yes"),'Instructions &amp; Rules'!$K$9,0)</f>
        <v>10</v>
      </c>
      <c r="AK10" s="69">
        <f>IF(AND(AG10&lt;&gt;"",'Official Results'!Q13&lt;&gt;"",AG10='Official Results'!Q13),1,0)+IF(AND(AH10&lt;&gt;"",'Official Results'!Q14&lt;&gt;"",AH10='Official Results'!Q14),1,0)+IF(AND(AI10&lt;&gt;"",'Official Results'!Q15&lt;&gt;"",'Official Results'!U15="Yes",AI10='Official Results'!Q15),1,0)</f>
        <v>2</v>
      </c>
      <c r="AL10" s="101" t="s">
        <v>199</v>
      </c>
      <c r="AM10" s="106" t="s">
        <v>201</v>
      </c>
      <c r="AN10" s="105" t="s">
        <v>202</v>
      </c>
      <c r="AO10" s="68">
        <f>IF(AND(AL10&lt;&gt;"",'Official Results'!X13&lt;&gt;""),IF(AL10='Official Results'!X13,'Instructions &amp; Rules'!$K$4,IF(AL10='Official Results'!X14,'Instructions &amp; Rules'!$K$6,0)),0)+IF(AND(AM10&lt;&gt;"",'Official Results'!X14&lt;&gt;""),IF(AM10='Official Results'!X14,'Instructions &amp; Rules'!$K$5,IF(AM10='Official Results'!X13,'Instructions &amp; Rules'!$K$6,0)),0)+IF(AND(AN10&lt;&gt;"",'Official Results'!X15&lt;&gt;"",'Official Results'!AB15="Yes"),IF(AN10='Official Results'!X15,'Instructions &amp; Rules'!$K$7,0),0)+IF(AND(AL10='Official Results'!X13,AM10='Official Results'!X14,'Official Results'!X13&lt;&gt;"",'Official Results'!X14&lt;&gt;""),'Instructions &amp; Rules'!$K$8,0)+IF(AND(AL10='Official Results'!X13,AM10='Official Results'!X14,AN10='Official Results'!X15,'Official Results'!AB15="Yes"),'Instructions &amp; Rules'!$K$9,0)</f>
        <v>4</v>
      </c>
      <c r="AP10" s="69">
        <f>IF(AND(AL10&lt;&gt;"",'Official Results'!X13&lt;&gt;"",AL10='Official Results'!X13),1,0)+IF(AND(AM10&lt;&gt;"",'Official Results'!X14&lt;&gt;"",AM10='Official Results'!X14),1,0)+IF(AND(AN10&lt;&gt;"",'Official Results'!X15&lt;&gt;"",'Official Results'!AB15="Yes",AN10='Official Results'!X15),1,0)</f>
        <v>1</v>
      </c>
      <c r="AQ10" s="101" t="s">
        <v>204</v>
      </c>
      <c r="AR10" s="102" t="s">
        <v>207</v>
      </c>
      <c r="AS10" s="103" t="s">
        <v>205</v>
      </c>
      <c r="AT10" s="68">
        <f>IF(AND(AQ10&lt;&gt;"",'Official Results'!C20&lt;&gt;""),IF(AQ10='Official Results'!C20,'Instructions &amp; Rules'!$K$4,IF(AQ10='Official Results'!C21,'Instructions &amp; Rules'!$K$6,0)),0)+IF(AND(AR10&lt;&gt;"",'Official Results'!C21&lt;&gt;""),IF(AR10='Official Results'!C21,'Instructions &amp; Rules'!$K$5,IF(AR10='Official Results'!C20,'Instructions &amp; Rules'!$K$6,0)),0)+IF(AND(AS10&lt;&gt;"",'Official Results'!C22&lt;&gt;"",'Official Results'!G22="Yes"),IF(AS10='Official Results'!C22,'Instructions &amp; Rules'!$K$7,0),0)+IF(AND(AQ10='Official Results'!C20,AR10='Official Results'!C21,'Official Results'!C20&lt;&gt;"",'Official Results'!C21&lt;&gt;""),'Instructions &amp; Rules'!$K$8,0)+IF(AND(AQ10='Official Results'!C20,AR10='Official Results'!C21,AS10='Official Results'!C22,'Official Results'!G22="Yes"),'Instructions &amp; Rules'!$K$9,0)</f>
        <v>15</v>
      </c>
      <c r="AU10" s="69">
        <f>IF(AND(AQ10&lt;&gt;"",'Official Results'!C20&lt;&gt;"",AQ10='Official Results'!C20),1,0)+IF(AND(AR10&lt;&gt;"",'Official Results'!C21&lt;&gt;"",AR10='Official Results'!C21),1,0)+IF(AND(AS10&lt;&gt;"",'Official Results'!C22&lt;&gt;"",'Official Results'!G22="Yes",AS10='Official Results'!C22),1,0)</f>
        <v>3</v>
      </c>
      <c r="AV10" s="101" t="s">
        <v>209</v>
      </c>
      <c r="AW10" s="106" t="s">
        <v>211</v>
      </c>
      <c r="AX10" s="105" t="s">
        <v>210</v>
      </c>
      <c r="AY10" s="68">
        <f>IF(AND(AV10&lt;&gt;"",'Official Results'!J20&lt;&gt;""),IF(AV10='Official Results'!J20,'Instructions &amp; Rules'!$K$4,IF(AV10='Official Results'!J21,'Instructions &amp; Rules'!$K$6,0)),0)+IF(AND(AW10&lt;&gt;"",'Official Results'!J21&lt;&gt;""),IF(AW10='Official Results'!J21,'Instructions &amp; Rules'!$K$5,IF(AW10='Official Results'!J20,'Instructions &amp; Rules'!$K$6,0)),0)+IF(AND(AX10&lt;&gt;"",'Official Results'!J22&lt;&gt;"",'Official Results'!N22="Yes"),IF(AX10='Official Results'!J22,'Instructions &amp; Rules'!$K$7,0),0)+IF(AND(AV10='Official Results'!J20,AW10='Official Results'!J21,'Official Results'!J20&lt;&gt;"",'Official Results'!J21&lt;&gt;""),'Instructions &amp; Rules'!$K$8,0)+IF(AND(AV10='Official Results'!J20,AW10='Official Results'!J21,AX10='Official Results'!J22,'Official Results'!N22="Yes"),'Instructions &amp; Rules'!$K$9,0)</f>
        <v>15</v>
      </c>
      <c r="AZ10" s="69">
        <f>IF(AND(AV10&lt;&gt;"",'Official Results'!J20&lt;&gt;"",AV10='Official Results'!J20),1,0)+IF(AND(AW10&lt;&gt;"",'Official Results'!J21&lt;&gt;"",AW10='Official Results'!J21),1,0)+IF(AND(AX10&lt;&gt;"",'Official Results'!J22&lt;&gt;"",'Official Results'!N22="Yes",AX10='Official Results'!J22),1,0)</f>
        <v>3</v>
      </c>
      <c r="BA10" s="101" t="s">
        <v>215</v>
      </c>
      <c r="BB10" s="106" t="s">
        <v>216</v>
      </c>
      <c r="BC10" s="105" t="s">
        <v>214</v>
      </c>
      <c r="BD10" s="68">
        <f>IF(AND(BA10&lt;&gt;"",'Official Results'!Q20&lt;&gt;""),IF(BA10='Official Results'!Q20,'Instructions &amp; Rules'!$K$4,IF(BA10='Official Results'!Q21,'Instructions &amp; Rules'!$K$6,0)),0)+IF(AND(BB10&lt;&gt;"",'Official Results'!Q21&lt;&gt;""),IF(BB10='Official Results'!Q21,'Instructions &amp; Rules'!$K$5,IF(BB10='Official Results'!Q20,'Instructions &amp; Rules'!$K$6,0)),0)+IF(AND(BC10&lt;&gt;"",'Official Results'!Q22&lt;&gt;"",'Official Results'!U22="Yes"),IF(BC10='Official Results'!Q22,'Instructions &amp; Rules'!$K$7,0),0)+IF(AND(BA10='Official Results'!Q20,BB10='Official Results'!Q21,'Official Results'!Q20&lt;&gt;"",'Official Results'!Q21&lt;&gt;""),'Instructions &amp; Rules'!$K$8,0)+IF(AND(BA10='Official Results'!Q20,BB10='Official Results'!Q21,BC10='Official Results'!Q22,'Official Results'!U22="Yes"),'Instructions &amp; Rules'!$K$9,0)</f>
        <v>1</v>
      </c>
      <c r="BE10" s="69">
        <f>IF(AND(BA10&lt;&gt;"",'Official Results'!Q20&lt;&gt;"",BA10='Official Results'!Q20),1,0)+IF(AND(BB10&lt;&gt;"",'Official Results'!Q21&lt;&gt;"",BB10='Official Results'!Q21),1,0)+IF(AND(BC10&lt;&gt;"",'Official Results'!Q22&lt;&gt;"",'Official Results'!U22="Yes",BC10='Official Results'!Q22),1,0)</f>
        <v>0</v>
      </c>
      <c r="BF10" s="105" t="s">
        <v>220</v>
      </c>
      <c r="BG10" s="107" t="s">
        <v>219</v>
      </c>
      <c r="BH10" s="103" t="s">
        <v>221</v>
      </c>
      <c r="BI10" s="68">
        <f>IF(AND(BF10&lt;&gt;"",'Official Results'!X20&lt;&gt;""),IF(BF10='Official Results'!X20,'Instructions &amp; Rules'!$K$4,IF(BF10='Official Results'!X21,'Instructions &amp; Rules'!$K$6,0)),0)+IF(AND(BG10&lt;&gt;"",'Official Results'!X21&lt;&gt;""),IF(BG10='Official Results'!X21,'Instructions &amp; Rules'!$K$5,IF(BG10='Official Results'!X20,'Instructions &amp; Rules'!$K$6,0)),0)+IF(AND(BH10&lt;&gt;"",'Official Results'!X22&lt;&gt;"",'Official Results'!AB22="Yes"),IF(BH10='Official Results'!X22,'Instructions &amp; Rules'!$K$7,0),0)+IF(AND(BF10='Official Results'!X20,BG10='Official Results'!X21,'Official Results'!X20&lt;&gt;"",'Official Results'!X21&lt;&gt;""),'Instructions &amp; Rules'!$K$8,0)+IF(AND(BF10='Official Results'!X20,BG10='Official Results'!X21,BH10='Official Results'!X22,'Official Results'!AB22="Yes"),'Instructions &amp; Rules'!$K$9,0)</f>
        <v>4</v>
      </c>
      <c r="BJ10" s="69">
        <f>IF(AND(BF10&lt;&gt;"",'Official Results'!X20&lt;&gt;"",BF10='Official Results'!X20),1,0)+IF(AND(BG10&lt;&gt;"",'Official Results'!X21&lt;&gt;"",BG10='Official Results'!X21),1,0)+IF(AND(BH10&lt;&gt;"",'Official Results'!X22&lt;&gt;"",'Official Results'!AB22="Yes",BH10='Official Results'!X22),1,0)</f>
        <v>1</v>
      </c>
      <c r="BK10" s="70">
        <f t="shared" si="0"/>
        <v>84</v>
      </c>
      <c r="BL10" s="71">
        <f t="shared" si="1"/>
        <v>17</v>
      </c>
      <c r="BM10" s="72">
        <f t="shared" si="2"/>
        <v>1</v>
      </c>
    </row>
    <row r="11" spans="1:65" ht="15" customHeight="1">
      <c r="A11" s="73" t="str">
        <f>IF(Players!B11="","",Players!B11)</f>
        <v>Aldy</v>
      </c>
      <c r="B11" s="86"/>
      <c r="C11" s="101" t="s">
        <v>157</v>
      </c>
      <c r="D11" s="102" t="s">
        <v>160</v>
      </c>
      <c r="E11" s="103" t="s">
        <v>158</v>
      </c>
      <c r="F11" s="68">
        <f>IF(AND(C11&lt;&gt;"",'Official Results'!C6&lt;&gt;""),IF(C11='Official Results'!C6,'Instructions &amp; Rules'!$K$4,IF(C11='Official Results'!C7,'Instructions &amp; Rules'!$K$6,0)),0)+IF(AND(D11&lt;&gt;"",'Official Results'!C7&lt;&gt;""),IF(D11='Official Results'!C7,'Instructions &amp; Rules'!$K$5,IF(D11='Official Results'!C6,'Instructions &amp; Rules'!$K$6,0)),0)+IF(AND(E11&lt;&gt;"",'Official Results'!C8&lt;&gt;"",'Official Results'!G8="Yes"),IF(E11='Official Results'!C8,'Instructions &amp; Rules'!$K$7,0),0)+IF(AND(C11='Official Results'!C6,D11='Official Results'!C7,'Official Results'!C6&lt;&gt;"",'Official Results'!C7&lt;&gt;""),'Instructions &amp; Rules'!$K$8,0)+IF(AND(C11='Official Results'!C6,D11='Official Results'!C7,E11='Official Results'!C8,'Official Results'!G8="Yes"),'Instructions &amp; Rules'!$K$9,0)</f>
        <v>4</v>
      </c>
      <c r="G11" s="69">
        <f>IF(AND(C11&lt;&gt;"",'Official Results'!C6&lt;&gt;"",C11='Official Results'!C6),1,0)+IF(AND(D11&lt;&gt;"",'Official Results'!C7&lt;&gt;"",D11='Official Results'!C7),1,0)+IF(AND(E11&lt;&gt;"",'Official Results'!C8&lt;&gt;"",'Official Results'!G8="Yes",E11='Official Results'!C8),1,0)</f>
        <v>1</v>
      </c>
      <c r="H11" s="101" t="s">
        <v>172</v>
      </c>
      <c r="I11" s="102" t="s">
        <v>169</v>
      </c>
      <c r="J11" s="103" t="s">
        <v>171</v>
      </c>
      <c r="K11" s="68">
        <f>IF(AND(H11&lt;&gt;"",'Official Results'!J6&lt;&gt;""),IF(H11='Official Results'!J6,'Instructions &amp; Rules'!$K$4,IF(H11='Official Results'!J7,'Instructions &amp; Rules'!$K$6,0)),0)+IF(AND(I11&lt;&gt;"",'Official Results'!J7&lt;&gt;""),IF(I11='Official Results'!J7,'Instructions &amp; Rules'!$K$5,IF(I11='Official Results'!J6,'Instructions &amp; Rules'!$K$6,0)),0)+IF(AND(J11&lt;&gt;"",'Official Results'!J8&lt;&gt;"",'Official Results'!N8="Yes"),IF(J11='Official Results'!J8,'Instructions &amp; Rules'!$K$7,0),0)+IF(AND(H11='Official Results'!J6,I11='Official Results'!J7,'Official Results'!J6&lt;&gt;"",'Official Results'!J7&lt;&gt;""),'Instructions &amp; Rules'!$K$8,0)+IF(AND(H11='Official Results'!J6,I11='Official Results'!J7,J11='Official Results'!J8,'Official Results'!N8="Yes"),'Instructions &amp; Rules'!$K$9,0)</f>
        <v>10</v>
      </c>
      <c r="L11" s="69">
        <f>IF(AND(H11&lt;&gt;"",'Official Results'!J6&lt;&gt;"",H11='Official Results'!J6),1,0)+IF(AND(I11&lt;&gt;"",'Official Results'!J7&lt;&gt;"",I11='Official Results'!J7),1,0)+IF(AND(J11&lt;&gt;"",'Official Results'!J8&lt;&gt;"",'Official Results'!N8="Yes",J11='Official Results'!J8),1,0)</f>
        <v>2</v>
      </c>
      <c r="M11" s="101" t="s">
        <v>174</v>
      </c>
      <c r="N11" s="102" t="s">
        <v>176</v>
      </c>
      <c r="O11" s="103" t="s">
        <v>177</v>
      </c>
      <c r="P11" s="68">
        <f>IF(AND(M11&lt;&gt;"",'Official Results'!Q6&lt;&gt;""),IF(M11='Official Results'!Q6,'Instructions &amp; Rules'!$K$4,IF(M11='Official Results'!Q7,'Instructions &amp; Rules'!$K$6,0)),0)+IF(AND(N11&lt;&gt;"",'Official Results'!Q7&lt;&gt;""),IF(N11='Official Results'!Q7,'Instructions &amp; Rules'!$K$5,IF(N11='Official Results'!Q6,'Instructions &amp; Rules'!$K$6,0)),0)+IF(AND(O11&lt;&gt;"",'Official Results'!Q8&lt;&gt;"",'Official Results'!U8="Yes"),IF(O11='Official Results'!Q8,'Instructions &amp; Rules'!$K$7,0),0)+IF(AND(M11='Official Results'!Q6,N11='Official Results'!Q7,'Official Results'!Q6&lt;&gt;"",'Official Results'!Q7&lt;&gt;""),'Instructions &amp; Rules'!$K$8,0)+IF(AND(M11='Official Results'!Q6,N11='Official Results'!Q7,O11='Official Results'!Q8,'Official Results'!U8="Yes"),'Instructions &amp; Rules'!$K$9,0)</f>
        <v>10</v>
      </c>
      <c r="Q11" s="69">
        <f>IF(AND(M11&lt;&gt;"",'Official Results'!Q6&lt;&gt;"",M11='Official Results'!Q6),1,0)+IF(AND(N11&lt;&gt;"",'Official Results'!Q7&lt;&gt;"",N11='Official Results'!Q7),1,0)+IF(AND(O11&lt;&gt;"",'Official Results'!Q8&lt;&gt;"",'Official Results'!U8="Yes",O11='Official Results'!Q8),1,0)</f>
        <v>2</v>
      </c>
      <c r="R11" s="101" t="s">
        <v>179</v>
      </c>
      <c r="S11" s="102" t="s">
        <v>182</v>
      </c>
      <c r="T11" s="103" t="s">
        <v>180</v>
      </c>
      <c r="U11" s="68">
        <f>IF(AND(R11&lt;&gt;"",'Official Results'!X6&lt;&gt;""),IF(R11='Official Results'!X6,'Instructions &amp; Rules'!$K$4,IF(R11='Official Results'!X7,'Instructions &amp; Rules'!$K$6,0)),0)+IF(AND(S11&lt;&gt;"",'Official Results'!X7&lt;&gt;""),IF(S11='Official Results'!X7,'Instructions &amp; Rules'!$K$5,IF(S11='Official Results'!X6,'Instructions &amp; Rules'!$K$6,0)),0)+IF(AND(T11&lt;&gt;"",'Official Results'!X8&lt;&gt;"",'Official Results'!AB8="Yes"),IF(T11='Official Results'!X8,'Instructions &amp; Rules'!$K$7,0),0)+IF(AND(R11='Official Results'!X6,S11='Official Results'!X7,'Official Results'!X6&lt;&gt;"",'Official Results'!X7&lt;&gt;""),'Instructions &amp; Rules'!$K$8,0)+IF(AND(R11='Official Results'!X6,S11='Official Results'!X7,T11='Official Results'!X8,'Official Results'!AB8="Yes"),'Instructions &amp; Rules'!$K$9,0)</f>
        <v>4</v>
      </c>
      <c r="V11" s="69">
        <f>IF(AND(R11&lt;&gt;"",'Official Results'!X6&lt;&gt;"",R11='Official Results'!X6),1,0)+IF(AND(S11&lt;&gt;"",'Official Results'!X7&lt;&gt;"",S11='Official Results'!X7),1,0)+IF(AND(T11&lt;&gt;"",'Official Results'!X8&lt;&gt;"",'Official Results'!AB8="Yes",T11='Official Results'!X8),1,0)</f>
        <v>1</v>
      </c>
      <c r="W11" s="101" t="s">
        <v>184</v>
      </c>
      <c r="X11" s="102" t="s">
        <v>187</v>
      </c>
      <c r="Y11" s="103" t="s">
        <v>186</v>
      </c>
      <c r="Z11" s="68">
        <f>IF(AND(W11&lt;&gt;"",'Official Results'!C13&lt;&gt;""),IF(W11='Official Results'!C13,'Instructions &amp; Rules'!$K$4,IF(W11='Official Results'!C14,'Instructions &amp; Rules'!$K$6,0)),0)+IF(AND(X11&lt;&gt;"",'Official Results'!C14&lt;&gt;""),IF(X11='Official Results'!C14,'Instructions &amp; Rules'!$K$5,IF(X11='Official Results'!C13,'Instructions &amp; Rules'!$K$6,0)),0)+IF(AND(Y11&lt;&gt;"",'Official Results'!C15&lt;&gt;"",'Official Results'!G15="Yes"),IF(Y11='Official Results'!C15,'Instructions &amp; Rules'!$K$7,0),0)+IF(AND(W11='Official Results'!C13,X11='Official Results'!C14,'Official Results'!C13&lt;&gt;"",'Official Results'!C14&lt;&gt;""),'Instructions &amp; Rules'!$K$8,0)+IF(AND(W11='Official Results'!C13,X11='Official Results'!C14,Y11='Official Results'!C15,'Official Results'!G15="Yes"),'Instructions &amp; Rules'!$K$9,0)</f>
        <v>4</v>
      </c>
      <c r="AA11" s="69">
        <f>IF(AND(W11&lt;&gt;"",'Official Results'!C13&lt;&gt;"",W11='Official Results'!C13),1,0)+IF(AND(X11&lt;&gt;"",'Official Results'!C14&lt;&gt;"",X11='Official Results'!C14),1,0)+IF(AND(Y11&lt;&gt;"",'Official Results'!C15&lt;&gt;"",'Official Results'!G15="Yes",Y11='Official Results'!C15),1,0)</f>
        <v>1</v>
      </c>
      <c r="AB11" s="101" t="s">
        <v>189</v>
      </c>
      <c r="AC11" s="102" t="s">
        <v>190</v>
      </c>
      <c r="AD11" s="103" t="s">
        <v>191</v>
      </c>
      <c r="AE11" s="68">
        <f>IF(AND(AB11&lt;&gt;"",'Official Results'!J13&lt;&gt;""),IF(AB11='Official Results'!J13,'Instructions &amp; Rules'!$K$4,IF(AB11='Official Results'!J14,'Instructions &amp; Rules'!$K$6,0)),0)+IF(AND(AC11&lt;&gt;"",'Official Results'!J14&lt;&gt;""),IF(AC11='Official Results'!J14,'Instructions &amp; Rules'!$K$5,IF(AC11='Official Results'!J13,'Instructions &amp; Rules'!$K$6,0)),0)+IF(AND(AD11&lt;&gt;"",'Official Results'!J15&lt;&gt;"",'Official Results'!N15="Yes"),IF(AD11='Official Results'!J15,'Instructions &amp; Rules'!$K$7,0),0)+IF(AND(AB11='Official Results'!J13,AC11='Official Results'!J14,'Official Results'!J13&lt;&gt;"",'Official Results'!J14&lt;&gt;""),'Instructions &amp; Rules'!$K$8,0)+IF(AND(AB11='Official Results'!J13,AC11='Official Results'!J14,AD11='Official Results'!J15,'Official Results'!N15="Yes"),'Instructions &amp; Rules'!$K$9,0)</f>
        <v>15</v>
      </c>
      <c r="AF11" s="69">
        <f>IF(AND(AB11&lt;&gt;"",'Official Results'!J13&lt;&gt;"",AB11='Official Results'!J13),1,0)+IF(AND(AC11&lt;&gt;"",'Official Results'!J14&lt;&gt;"",AC11='Official Results'!J14),1,0)+IF(AND(AD11&lt;&gt;"",'Official Results'!J15&lt;&gt;"",'Official Results'!N15="Yes",AD11='Official Results'!J15),1,0)</f>
        <v>3</v>
      </c>
      <c r="AG11" s="101" t="s">
        <v>194</v>
      </c>
      <c r="AH11" s="102" t="s">
        <v>195</v>
      </c>
      <c r="AI11" s="103" t="s">
        <v>197</v>
      </c>
      <c r="AJ11" s="68">
        <f>IF(AND(AG11&lt;&gt;"",'Official Results'!Q13&lt;&gt;""),IF(AG11='Official Results'!Q13,'Instructions &amp; Rules'!$K$4,IF(AG11='Official Results'!Q14,'Instructions &amp; Rules'!$K$6,0)),0)+IF(AND(AH11&lt;&gt;"",'Official Results'!Q14&lt;&gt;""),IF(AH11='Official Results'!Q14,'Instructions &amp; Rules'!$K$5,IF(AH11='Official Results'!Q13,'Instructions &amp; Rules'!$K$6,0)),0)+IF(AND(AI11&lt;&gt;"",'Official Results'!Q15&lt;&gt;"",'Official Results'!U15="Yes"),IF(AI11='Official Results'!Q15,'Instructions &amp; Rules'!$K$7,0),0)+IF(AND(AG11='Official Results'!Q13,AH11='Official Results'!Q14,'Official Results'!Q13&lt;&gt;"",'Official Results'!Q14&lt;&gt;""),'Instructions &amp; Rules'!$K$8,0)+IF(AND(AG11='Official Results'!Q13,AH11='Official Results'!Q14,AI11='Official Results'!Q15,'Official Results'!U15="Yes"),'Instructions &amp; Rules'!$K$9,0)</f>
        <v>10</v>
      </c>
      <c r="AK11" s="69">
        <f>IF(AND(AG11&lt;&gt;"",'Official Results'!Q13&lt;&gt;"",AG11='Official Results'!Q13),1,0)+IF(AND(AH11&lt;&gt;"",'Official Results'!Q14&lt;&gt;"",AH11='Official Results'!Q14),1,0)+IF(AND(AI11&lt;&gt;"",'Official Results'!Q15&lt;&gt;"",'Official Results'!U15="Yes",AI11='Official Results'!Q15),1,0)</f>
        <v>2</v>
      </c>
      <c r="AL11" s="101" t="s">
        <v>199</v>
      </c>
      <c r="AM11" s="102" t="s">
        <v>202</v>
      </c>
      <c r="AN11" s="103" t="s">
        <v>201</v>
      </c>
      <c r="AO11" s="68">
        <f>IF(AND(AL11&lt;&gt;"",'Official Results'!X13&lt;&gt;""),IF(AL11='Official Results'!X13,'Instructions &amp; Rules'!$K$4,IF(AL11='Official Results'!X14,'Instructions &amp; Rules'!$K$6,0)),0)+IF(AND(AM11&lt;&gt;"",'Official Results'!X14&lt;&gt;""),IF(AM11='Official Results'!X14,'Instructions &amp; Rules'!$K$5,IF(AM11='Official Results'!X13,'Instructions &amp; Rules'!$K$6,0)),0)+IF(AND(AN11&lt;&gt;"",'Official Results'!X15&lt;&gt;"",'Official Results'!AB15="Yes"),IF(AN11='Official Results'!X15,'Instructions &amp; Rules'!$K$7,0),0)+IF(AND(AL11='Official Results'!X13,AM11='Official Results'!X14,'Official Results'!X13&lt;&gt;"",'Official Results'!X14&lt;&gt;""),'Instructions &amp; Rules'!$K$8,0)+IF(AND(AL11='Official Results'!X13,AM11='Official Results'!X14,AN11='Official Results'!X15,'Official Results'!AB15="Yes"),'Instructions &amp; Rules'!$K$9,0)</f>
        <v>4</v>
      </c>
      <c r="AP11" s="69">
        <f>IF(AND(AL11&lt;&gt;"",'Official Results'!X13&lt;&gt;"",AL11='Official Results'!X13),1,0)+IF(AND(AM11&lt;&gt;"",'Official Results'!X14&lt;&gt;"",AM11='Official Results'!X14),1,0)+IF(AND(AN11&lt;&gt;"",'Official Results'!X15&lt;&gt;"",'Official Results'!AB15="Yes",AN11='Official Results'!X15),1,0)</f>
        <v>1</v>
      </c>
      <c r="AQ11" s="101" t="s">
        <v>204</v>
      </c>
      <c r="AR11" s="102" t="s">
        <v>207</v>
      </c>
      <c r="AS11" s="103" t="s">
        <v>205</v>
      </c>
      <c r="AT11" s="68">
        <f>IF(AND(AQ11&lt;&gt;"",'Official Results'!C20&lt;&gt;""),IF(AQ11='Official Results'!C20,'Instructions &amp; Rules'!$K$4,IF(AQ11='Official Results'!C21,'Instructions &amp; Rules'!$K$6,0)),0)+IF(AND(AR11&lt;&gt;"",'Official Results'!C21&lt;&gt;""),IF(AR11='Official Results'!C21,'Instructions &amp; Rules'!$K$5,IF(AR11='Official Results'!C20,'Instructions &amp; Rules'!$K$6,0)),0)+IF(AND(AS11&lt;&gt;"",'Official Results'!C22&lt;&gt;"",'Official Results'!G22="Yes"),IF(AS11='Official Results'!C22,'Instructions &amp; Rules'!$K$7,0),0)+IF(AND(AQ11='Official Results'!C20,AR11='Official Results'!C21,'Official Results'!C20&lt;&gt;"",'Official Results'!C21&lt;&gt;""),'Instructions &amp; Rules'!$K$8,0)+IF(AND(AQ11='Official Results'!C20,AR11='Official Results'!C21,AS11='Official Results'!C22,'Official Results'!G22="Yes"),'Instructions &amp; Rules'!$K$9,0)</f>
        <v>15</v>
      </c>
      <c r="AU11" s="69">
        <f>IF(AND(AQ11&lt;&gt;"",'Official Results'!C20&lt;&gt;"",AQ11='Official Results'!C20),1,0)+IF(AND(AR11&lt;&gt;"",'Official Results'!C21&lt;&gt;"",AR11='Official Results'!C21),1,0)+IF(AND(AS11&lt;&gt;"",'Official Results'!C22&lt;&gt;"",'Official Results'!G22="Yes",AS11='Official Results'!C22),1,0)</f>
        <v>3</v>
      </c>
      <c r="AV11" s="101" t="s">
        <v>209</v>
      </c>
      <c r="AW11" s="102" t="s">
        <v>211</v>
      </c>
      <c r="AX11" s="103" t="s">
        <v>210</v>
      </c>
      <c r="AY11" s="68">
        <f>IF(AND(AV11&lt;&gt;"",'Official Results'!J20&lt;&gt;""),IF(AV11='Official Results'!J20,'Instructions &amp; Rules'!$K$4,IF(AV11='Official Results'!J21,'Instructions &amp; Rules'!$K$6,0)),0)+IF(AND(AW11&lt;&gt;"",'Official Results'!J21&lt;&gt;""),IF(AW11='Official Results'!J21,'Instructions &amp; Rules'!$K$5,IF(AW11='Official Results'!J20,'Instructions &amp; Rules'!$K$6,0)),0)+IF(AND(AX11&lt;&gt;"",'Official Results'!J22&lt;&gt;"",'Official Results'!N22="Yes"),IF(AX11='Official Results'!J22,'Instructions &amp; Rules'!$K$7,0),0)+IF(AND(AV11='Official Results'!J20,AW11='Official Results'!J21,'Official Results'!J20&lt;&gt;"",'Official Results'!J21&lt;&gt;""),'Instructions &amp; Rules'!$K$8,0)+IF(AND(AV11='Official Results'!J20,AW11='Official Results'!J21,AX11='Official Results'!J22,'Official Results'!N22="Yes"),'Instructions &amp; Rules'!$K$9,0)</f>
        <v>15</v>
      </c>
      <c r="AZ11" s="69">
        <f>IF(AND(AV11&lt;&gt;"",'Official Results'!J20&lt;&gt;"",AV11='Official Results'!J20),1,0)+IF(AND(AW11&lt;&gt;"",'Official Results'!J21&lt;&gt;"",AW11='Official Results'!J21),1,0)+IF(AND(AX11&lt;&gt;"",'Official Results'!J22&lt;&gt;"",'Official Results'!N22="Yes",AX11='Official Results'!J22),1,0)</f>
        <v>3</v>
      </c>
      <c r="BA11" s="101" t="s">
        <v>215</v>
      </c>
      <c r="BB11" s="102" t="s">
        <v>214</v>
      </c>
      <c r="BC11" s="103" t="s">
        <v>216</v>
      </c>
      <c r="BD11" s="68">
        <f>IF(AND(BA11&lt;&gt;"",'Official Results'!Q20&lt;&gt;""),IF(BA11='Official Results'!Q20,'Instructions &amp; Rules'!$K$4,IF(BA11='Official Results'!Q21,'Instructions &amp; Rules'!$K$6,0)),0)+IF(AND(BB11&lt;&gt;"",'Official Results'!Q21&lt;&gt;""),IF(BB11='Official Results'!Q21,'Instructions &amp; Rules'!$K$5,IF(BB11='Official Results'!Q20,'Instructions &amp; Rules'!$K$6,0)),0)+IF(AND(BC11&lt;&gt;"",'Official Results'!Q22&lt;&gt;"",'Official Results'!U22="Yes"),IF(BC11='Official Results'!Q22,'Instructions &amp; Rules'!$K$7,0),0)+IF(AND(BA11='Official Results'!Q20,BB11='Official Results'!Q21,'Official Results'!Q20&lt;&gt;"",'Official Results'!Q21&lt;&gt;""),'Instructions &amp; Rules'!$K$8,0)+IF(AND(BA11='Official Results'!Q20,BB11='Official Results'!Q21,BC11='Official Results'!Q22,'Official Results'!U22="Yes"),'Instructions &amp; Rules'!$K$9,0)</f>
        <v>2</v>
      </c>
      <c r="BE11" s="69">
        <f>IF(AND(BA11&lt;&gt;"",'Official Results'!Q20&lt;&gt;"",BA11='Official Results'!Q20),1,0)+IF(AND(BB11&lt;&gt;"",'Official Results'!Q21&lt;&gt;"",BB11='Official Results'!Q21),1,0)+IF(AND(BC11&lt;&gt;"",'Official Results'!Q22&lt;&gt;"",'Official Results'!U22="Yes",BC11='Official Results'!Q22),1,0)</f>
        <v>0</v>
      </c>
      <c r="BF11" s="101" t="s">
        <v>219</v>
      </c>
      <c r="BG11" s="102" t="s">
        <v>220</v>
      </c>
      <c r="BH11" s="103" t="s">
        <v>221</v>
      </c>
      <c r="BI11" s="68">
        <f>IF(AND(BF11&lt;&gt;"",'Official Results'!X20&lt;&gt;""),IF(BF11='Official Results'!X20,'Instructions &amp; Rules'!$K$4,IF(BF11='Official Results'!X21,'Instructions &amp; Rules'!$K$6,0)),0)+IF(AND(BG11&lt;&gt;"",'Official Results'!X21&lt;&gt;""),IF(BG11='Official Results'!X21,'Instructions &amp; Rules'!$K$5,IF(BG11='Official Results'!X20,'Instructions &amp; Rules'!$K$6,0)),0)+IF(AND(BH11&lt;&gt;"",'Official Results'!X22&lt;&gt;"",'Official Results'!AB22="Yes"),IF(BH11='Official Results'!X22,'Instructions &amp; Rules'!$K$7,0),0)+IF(AND(BF11='Official Results'!X20,BG11='Official Results'!X21,'Official Results'!X20&lt;&gt;"",'Official Results'!X21&lt;&gt;""),'Instructions &amp; Rules'!$K$8,0)+IF(AND(BF11='Official Results'!X20,BG11='Official Results'!X21,BH11='Official Results'!X22,'Official Results'!AB22="Yes"),'Instructions &amp; Rules'!$K$9,0)</f>
        <v>15</v>
      </c>
      <c r="BJ11" s="69">
        <f>IF(AND(BF11&lt;&gt;"",'Official Results'!X20&lt;&gt;"",BF11='Official Results'!X20),1,0)+IF(AND(BG11&lt;&gt;"",'Official Results'!X21&lt;&gt;"",BG11='Official Results'!X21),1,0)+IF(AND(BH11&lt;&gt;"",'Official Results'!X22&lt;&gt;"",'Official Results'!AB22="Yes",BH11='Official Results'!X22),1,0)</f>
        <v>3</v>
      </c>
      <c r="BK11" s="70">
        <f t="shared" si="0"/>
        <v>108</v>
      </c>
      <c r="BL11" s="71">
        <f t="shared" si="1"/>
        <v>22</v>
      </c>
      <c r="BM11" s="72">
        <f t="shared" si="2"/>
        <v>1</v>
      </c>
    </row>
    <row r="12" spans="1:65" ht="15" customHeight="1">
      <c r="A12" s="73" t="str">
        <f>IF(Players!B12="","",Players!B12)</f>
        <v>Affaninho</v>
      </c>
      <c r="B12" s="86"/>
      <c r="C12" s="101" t="s">
        <v>158</v>
      </c>
      <c r="D12" s="102" t="s">
        <v>157</v>
      </c>
      <c r="E12" s="103" t="s">
        <v>160</v>
      </c>
      <c r="F12" s="68">
        <f>IF(AND(C12&lt;&gt;"",'Official Results'!C6&lt;&gt;""),IF(C12='Official Results'!C6,'Instructions &amp; Rules'!$K$4,IF(C12='Official Results'!C7,'Instructions &amp; Rules'!$K$6,0)),0)+IF(AND(D12&lt;&gt;"",'Official Results'!C7&lt;&gt;""),IF(D12='Official Results'!C7,'Instructions &amp; Rules'!$K$5,IF(D12='Official Results'!C6,'Instructions &amp; Rules'!$K$6,0)),0)+IF(AND(E12&lt;&gt;"",'Official Results'!C8&lt;&gt;"",'Official Results'!G8="Yes"),IF(E12='Official Results'!C8,'Instructions &amp; Rules'!$K$7,0),0)+IF(AND(C12='Official Results'!C6,D12='Official Results'!C7,'Official Results'!C6&lt;&gt;"",'Official Results'!C7&lt;&gt;""),'Instructions &amp; Rules'!$K$8,0)+IF(AND(C12='Official Results'!C6,D12='Official Results'!C7,E12='Official Results'!C8,'Official Results'!G8="Yes"),'Instructions &amp; Rules'!$K$9,0)</f>
        <v>2</v>
      </c>
      <c r="G12" s="69">
        <f>IF(AND(C12&lt;&gt;"",'Official Results'!C6&lt;&gt;"",C12='Official Results'!C6),1,0)+IF(AND(D12&lt;&gt;"",'Official Results'!C7&lt;&gt;"",D12='Official Results'!C7),1,0)+IF(AND(E12&lt;&gt;"",'Official Results'!C8&lt;&gt;"",'Official Results'!G8="Yes",E12='Official Results'!C8),1,0)</f>
        <v>0</v>
      </c>
      <c r="H12" s="101" t="s">
        <v>169</v>
      </c>
      <c r="I12" s="102" t="s">
        <v>170</v>
      </c>
      <c r="J12" s="103" t="s">
        <v>171</v>
      </c>
      <c r="K12" s="68">
        <f>IF(AND(H12&lt;&gt;"",'Official Results'!J6&lt;&gt;""),IF(H12='Official Results'!J6,'Instructions &amp; Rules'!$K$4,IF(H12='Official Results'!J7,'Instructions &amp; Rules'!$K$6,0)),0)+IF(AND(I12&lt;&gt;"",'Official Results'!J7&lt;&gt;""),IF(I12='Official Results'!J7,'Instructions &amp; Rules'!$K$5,IF(I12='Official Results'!J6,'Instructions &amp; Rules'!$K$6,0)),0)+IF(AND(J12&lt;&gt;"",'Official Results'!J8&lt;&gt;"",'Official Results'!N8="Yes"),IF(J12='Official Results'!J8,'Instructions &amp; Rules'!$K$7,0),0)+IF(AND(H12='Official Results'!J6,I12='Official Results'!J7,'Official Results'!J6&lt;&gt;"",'Official Results'!J7&lt;&gt;""),'Instructions &amp; Rules'!$K$8,0)+IF(AND(H12='Official Results'!J6,I12='Official Results'!J7,J12='Official Results'!J8,'Official Results'!N8="Yes"),'Instructions &amp; Rules'!$K$9,0)</f>
        <v>1</v>
      </c>
      <c r="L12" s="69">
        <f>IF(AND(H12&lt;&gt;"",'Official Results'!J6&lt;&gt;"",H12='Official Results'!J6),1,0)+IF(AND(I12&lt;&gt;"",'Official Results'!J7&lt;&gt;"",I12='Official Results'!J7),1,0)+IF(AND(J12&lt;&gt;"",'Official Results'!J8&lt;&gt;"",'Official Results'!N8="Yes",J12='Official Results'!J8),1,0)</f>
        <v>0</v>
      </c>
      <c r="M12" s="101" t="s">
        <v>176</v>
      </c>
      <c r="N12" s="102" t="s">
        <v>174</v>
      </c>
      <c r="O12" s="103" t="s">
        <v>177</v>
      </c>
      <c r="P12" s="68">
        <f>IF(AND(M12&lt;&gt;"",'Official Results'!Q6&lt;&gt;""),IF(M12='Official Results'!Q6,'Instructions &amp; Rules'!$K$4,IF(M12='Official Results'!Q7,'Instructions &amp; Rules'!$K$6,0)),0)+IF(AND(N12&lt;&gt;"",'Official Results'!Q7&lt;&gt;""),IF(N12='Official Results'!Q7,'Instructions &amp; Rules'!$K$5,IF(N12='Official Results'!Q6,'Instructions &amp; Rules'!$K$6,0)),0)+IF(AND(O12&lt;&gt;"",'Official Results'!Q8&lt;&gt;"",'Official Results'!U8="Yes"),IF(O12='Official Results'!Q8,'Instructions &amp; Rules'!$K$7,0),0)+IF(AND(M12='Official Results'!Q6,N12='Official Results'!Q7,'Official Results'!Q6&lt;&gt;"",'Official Results'!Q7&lt;&gt;""),'Instructions &amp; Rules'!$K$8,0)+IF(AND(M12='Official Results'!Q6,N12='Official Results'!Q7,O12='Official Results'!Q8,'Official Results'!U8="Yes"),'Instructions &amp; Rules'!$K$9,0)</f>
        <v>2</v>
      </c>
      <c r="Q12" s="69">
        <f>IF(AND(M12&lt;&gt;"",'Official Results'!Q6&lt;&gt;"",M12='Official Results'!Q6),1,0)+IF(AND(N12&lt;&gt;"",'Official Results'!Q7&lt;&gt;"",N12='Official Results'!Q7),1,0)+IF(AND(O12&lt;&gt;"",'Official Results'!Q8&lt;&gt;"",'Official Results'!U8="Yes",O12='Official Results'!Q8),1,0)</f>
        <v>0</v>
      </c>
      <c r="R12" s="101" t="s">
        <v>179</v>
      </c>
      <c r="S12" s="102" t="s">
        <v>180</v>
      </c>
      <c r="T12" s="103" t="s">
        <v>182</v>
      </c>
      <c r="U12" s="68">
        <f>IF(AND(R12&lt;&gt;"",'Official Results'!X6&lt;&gt;""),IF(R12='Official Results'!X6,'Instructions &amp; Rules'!$K$4,IF(R12='Official Results'!X7,'Instructions &amp; Rules'!$K$6,0)),0)+IF(AND(S12&lt;&gt;"",'Official Results'!X7&lt;&gt;""),IF(S12='Official Results'!X7,'Instructions &amp; Rules'!$K$5,IF(S12='Official Results'!X6,'Instructions &amp; Rules'!$K$6,0)),0)+IF(AND(T12&lt;&gt;"",'Official Results'!X8&lt;&gt;"",'Official Results'!AB8="Yes"),IF(T12='Official Results'!X8,'Instructions &amp; Rules'!$K$7,0),0)+IF(AND(R12='Official Results'!X6,S12='Official Results'!X7,'Official Results'!X6&lt;&gt;"",'Official Results'!X7&lt;&gt;""),'Instructions &amp; Rules'!$K$8,0)+IF(AND(R12='Official Results'!X6,S12='Official Results'!X7,T12='Official Results'!X8,'Official Results'!AB8="Yes"),'Instructions &amp; Rules'!$K$9,0)</f>
        <v>10</v>
      </c>
      <c r="V12" s="69">
        <f>IF(AND(R12&lt;&gt;"",'Official Results'!X6&lt;&gt;"",R12='Official Results'!X6),1,0)+IF(AND(S12&lt;&gt;"",'Official Results'!X7&lt;&gt;"",S12='Official Results'!X7),1,0)+IF(AND(T12&lt;&gt;"",'Official Results'!X8&lt;&gt;"",'Official Results'!AB8="Yes",T12='Official Results'!X8),1,0)</f>
        <v>2</v>
      </c>
      <c r="W12" s="101" t="s">
        <v>184</v>
      </c>
      <c r="X12" s="102" t="s">
        <v>187</v>
      </c>
      <c r="Y12" s="103" t="s">
        <v>186</v>
      </c>
      <c r="Z12" s="68">
        <f>IF(AND(W12&lt;&gt;"",'Official Results'!C13&lt;&gt;""),IF(W12='Official Results'!C13,'Instructions &amp; Rules'!$K$4,IF(W12='Official Results'!C14,'Instructions &amp; Rules'!$K$6,0)),0)+IF(AND(X12&lt;&gt;"",'Official Results'!C14&lt;&gt;""),IF(X12='Official Results'!C14,'Instructions &amp; Rules'!$K$5,IF(X12='Official Results'!C13,'Instructions &amp; Rules'!$K$6,0)),0)+IF(AND(Y12&lt;&gt;"",'Official Results'!C15&lt;&gt;"",'Official Results'!G15="Yes"),IF(Y12='Official Results'!C15,'Instructions &amp; Rules'!$K$7,0),0)+IF(AND(W12='Official Results'!C13,X12='Official Results'!C14,'Official Results'!C13&lt;&gt;"",'Official Results'!C14&lt;&gt;""),'Instructions &amp; Rules'!$K$8,0)+IF(AND(W12='Official Results'!C13,X12='Official Results'!C14,Y12='Official Results'!C15,'Official Results'!G15="Yes"),'Instructions &amp; Rules'!$K$9,0)</f>
        <v>4</v>
      </c>
      <c r="AA12" s="69">
        <f>IF(AND(W12&lt;&gt;"",'Official Results'!C13&lt;&gt;"",W12='Official Results'!C13),1,0)+IF(AND(X12&lt;&gt;"",'Official Results'!C14&lt;&gt;"",X12='Official Results'!C14),1,0)+IF(AND(Y12&lt;&gt;"",'Official Results'!C15&lt;&gt;"",'Official Results'!G15="Yes",Y12='Official Results'!C15),1,0)</f>
        <v>1</v>
      </c>
      <c r="AB12" s="101" t="s">
        <v>189</v>
      </c>
      <c r="AC12" s="102" t="s">
        <v>190</v>
      </c>
      <c r="AD12" s="103" t="s">
        <v>191</v>
      </c>
      <c r="AE12" s="68">
        <f>IF(AND(AB12&lt;&gt;"",'Official Results'!J13&lt;&gt;""),IF(AB12='Official Results'!J13,'Instructions &amp; Rules'!$K$4,IF(AB12='Official Results'!J14,'Instructions &amp; Rules'!$K$6,0)),0)+IF(AND(AC12&lt;&gt;"",'Official Results'!J14&lt;&gt;""),IF(AC12='Official Results'!J14,'Instructions &amp; Rules'!$K$5,IF(AC12='Official Results'!J13,'Instructions &amp; Rules'!$K$6,0)),0)+IF(AND(AD12&lt;&gt;"",'Official Results'!J15&lt;&gt;"",'Official Results'!N15="Yes"),IF(AD12='Official Results'!J15,'Instructions &amp; Rules'!$K$7,0),0)+IF(AND(AB12='Official Results'!J13,AC12='Official Results'!J14,'Official Results'!J13&lt;&gt;"",'Official Results'!J14&lt;&gt;""),'Instructions &amp; Rules'!$K$8,0)+IF(AND(AB12='Official Results'!J13,AC12='Official Results'!J14,AD12='Official Results'!J15,'Official Results'!N15="Yes"),'Instructions &amp; Rules'!$K$9,0)</f>
        <v>15</v>
      </c>
      <c r="AF12" s="69">
        <f>IF(AND(AB12&lt;&gt;"",'Official Results'!J13&lt;&gt;"",AB12='Official Results'!J13),1,0)+IF(AND(AC12&lt;&gt;"",'Official Results'!J14&lt;&gt;"",AC12='Official Results'!J14),1,0)+IF(AND(AD12&lt;&gt;"",'Official Results'!J15&lt;&gt;"",'Official Results'!N15="Yes",AD12='Official Results'!J15),1,0)</f>
        <v>3</v>
      </c>
      <c r="AG12" s="101" t="s">
        <v>194</v>
      </c>
      <c r="AH12" s="102" t="s">
        <v>195</v>
      </c>
      <c r="AI12" s="103" t="s">
        <v>197</v>
      </c>
      <c r="AJ12" s="68">
        <f>IF(AND(AG12&lt;&gt;"",'Official Results'!Q13&lt;&gt;""),IF(AG12='Official Results'!Q13,'Instructions &amp; Rules'!$K$4,IF(AG12='Official Results'!Q14,'Instructions &amp; Rules'!$K$6,0)),0)+IF(AND(AH12&lt;&gt;"",'Official Results'!Q14&lt;&gt;""),IF(AH12='Official Results'!Q14,'Instructions &amp; Rules'!$K$5,IF(AH12='Official Results'!Q13,'Instructions &amp; Rules'!$K$6,0)),0)+IF(AND(AI12&lt;&gt;"",'Official Results'!Q15&lt;&gt;"",'Official Results'!U15="Yes"),IF(AI12='Official Results'!Q15,'Instructions &amp; Rules'!$K$7,0),0)+IF(AND(AG12='Official Results'!Q13,AH12='Official Results'!Q14,'Official Results'!Q13&lt;&gt;"",'Official Results'!Q14&lt;&gt;""),'Instructions &amp; Rules'!$K$8,0)+IF(AND(AG12='Official Results'!Q13,AH12='Official Results'!Q14,AI12='Official Results'!Q15,'Official Results'!U15="Yes"),'Instructions &amp; Rules'!$K$9,0)</f>
        <v>10</v>
      </c>
      <c r="AK12" s="69">
        <f>IF(AND(AG12&lt;&gt;"",'Official Results'!Q13&lt;&gt;"",AG12='Official Results'!Q13),1,0)+IF(AND(AH12&lt;&gt;"",'Official Results'!Q14&lt;&gt;"",AH12='Official Results'!Q14),1,0)+IF(AND(AI12&lt;&gt;"",'Official Results'!Q15&lt;&gt;"",'Official Results'!U15="Yes",AI12='Official Results'!Q15),1,0)</f>
        <v>2</v>
      </c>
      <c r="AL12" s="101" t="s">
        <v>199</v>
      </c>
      <c r="AM12" s="102" t="s">
        <v>202</v>
      </c>
      <c r="AN12" s="103" t="s">
        <v>201</v>
      </c>
      <c r="AO12" s="68">
        <f>IF(AND(AL12&lt;&gt;"",'Official Results'!X13&lt;&gt;""),IF(AL12='Official Results'!X13,'Instructions &amp; Rules'!$K$4,IF(AL12='Official Results'!X14,'Instructions &amp; Rules'!$K$6,0)),0)+IF(AND(AM12&lt;&gt;"",'Official Results'!X14&lt;&gt;""),IF(AM12='Official Results'!X14,'Instructions &amp; Rules'!$K$5,IF(AM12='Official Results'!X13,'Instructions &amp; Rules'!$K$6,0)),0)+IF(AND(AN12&lt;&gt;"",'Official Results'!X15&lt;&gt;"",'Official Results'!AB15="Yes"),IF(AN12='Official Results'!X15,'Instructions &amp; Rules'!$K$7,0),0)+IF(AND(AL12='Official Results'!X13,AM12='Official Results'!X14,'Official Results'!X13&lt;&gt;"",'Official Results'!X14&lt;&gt;""),'Instructions &amp; Rules'!$K$8,0)+IF(AND(AL12='Official Results'!X13,AM12='Official Results'!X14,AN12='Official Results'!X15,'Official Results'!AB15="Yes"),'Instructions &amp; Rules'!$K$9,0)</f>
        <v>4</v>
      </c>
      <c r="AP12" s="69">
        <f>IF(AND(AL12&lt;&gt;"",'Official Results'!X13&lt;&gt;"",AL12='Official Results'!X13),1,0)+IF(AND(AM12&lt;&gt;"",'Official Results'!X14&lt;&gt;"",AM12='Official Results'!X14),1,0)+IF(AND(AN12&lt;&gt;"",'Official Results'!X15&lt;&gt;"",'Official Results'!AB15="Yes",AN12='Official Results'!X15),1,0)</f>
        <v>1</v>
      </c>
      <c r="AQ12" s="101" t="s">
        <v>204</v>
      </c>
      <c r="AR12" s="102" t="s">
        <v>205</v>
      </c>
      <c r="AS12" s="103" t="s">
        <v>207</v>
      </c>
      <c r="AT12" s="68">
        <f>IF(AND(AQ12&lt;&gt;"",'Official Results'!C20&lt;&gt;""),IF(AQ12='Official Results'!C20,'Instructions &amp; Rules'!$K$4,IF(AQ12='Official Results'!C21,'Instructions &amp; Rules'!$K$6,0)),0)+IF(AND(AR12&lt;&gt;"",'Official Results'!C21&lt;&gt;""),IF(AR12='Official Results'!C21,'Instructions &amp; Rules'!$K$5,IF(AR12='Official Results'!C20,'Instructions &amp; Rules'!$K$6,0)),0)+IF(AND(AS12&lt;&gt;"",'Official Results'!C22&lt;&gt;"",'Official Results'!G22="Yes"),IF(AS12='Official Results'!C22,'Instructions &amp; Rules'!$K$7,0),0)+IF(AND(AQ12='Official Results'!C20,AR12='Official Results'!C21,'Official Results'!C20&lt;&gt;"",'Official Results'!C21&lt;&gt;""),'Instructions &amp; Rules'!$K$8,0)+IF(AND(AQ12='Official Results'!C20,AR12='Official Results'!C21,AS12='Official Results'!C22,'Official Results'!G22="Yes"),'Instructions &amp; Rules'!$K$9,0)</f>
        <v>4</v>
      </c>
      <c r="AU12" s="69">
        <f>IF(AND(AQ12&lt;&gt;"",'Official Results'!C20&lt;&gt;"",AQ12='Official Results'!C20),1,0)+IF(AND(AR12&lt;&gt;"",'Official Results'!C21&lt;&gt;"",AR12='Official Results'!C21),1,0)+IF(AND(AS12&lt;&gt;"",'Official Results'!C22&lt;&gt;"",'Official Results'!G22="Yes",AS12='Official Results'!C22),1,0)</f>
        <v>1</v>
      </c>
      <c r="AV12" s="101" t="s">
        <v>209</v>
      </c>
      <c r="AW12" s="102" t="s">
        <v>211</v>
      </c>
      <c r="AX12" s="103" t="s">
        <v>210</v>
      </c>
      <c r="AY12" s="68">
        <f>IF(AND(AV12&lt;&gt;"",'Official Results'!J20&lt;&gt;""),IF(AV12='Official Results'!J20,'Instructions &amp; Rules'!$K$4,IF(AV12='Official Results'!J21,'Instructions &amp; Rules'!$K$6,0)),0)+IF(AND(AW12&lt;&gt;"",'Official Results'!J21&lt;&gt;""),IF(AW12='Official Results'!J21,'Instructions &amp; Rules'!$K$5,IF(AW12='Official Results'!J20,'Instructions &amp; Rules'!$K$6,0)),0)+IF(AND(AX12&lt;&gt;"",'Official Results'!J22&lt;&gt;"",'Official Results'!N22="Yes"),IF(AX12='Official Results'!J22,'Instructions &amp; Rules'!$K$7,0),0)+IF(AND(AV12='Official Results'!J20,AW12='Official Results'!J21,'Official Results'!J20&lt;&gt;"",'Official Results'!J21&lt;&gt;""),'Instructions &amp; Rules'!$K$8,0)+IF(AND(AV12='Official Results'!J20,AW12='Official Results'!J21,AX12='Official Results'!J22,'Official Results'!N22="Yes"),'Instructions &amp; Rules'!$K$9,0)</f>
        <v>15</v>
      </c>
      <c r="AZ12" s="69">
        <f>IF(AND(AV12&lt;&gt;"",'Official Results'!J20&lt;&gt;"",AV12='Official Results'!J20),1,0)+IF(AND(AW12&lt;&gt;"",'Official Results'!J21&lt;&gt;"",AW12='Official Results'!J21),1,0)+IF(AND(AX12&lt;&gt;"",'Official Results'!J22&lt;&gt;"",'Official Results'!N22="Yes",AX12='Official Results'!J22),1,0)</f>
        <v>3</v>
      </c>
      <c r="BA12" s="101" t="s">
        <v>215</v>
      </c>
      <c r="BB12" s="102" t="s">
        <v>214</v>
      </c>
      <c r="BC12" s="103" t="s">
        <v>216</v>
      </c>
      <c r="BD12" s="68">
        <f>IF(AND(BA12&lt;&gt;"",'Official Results'!Q20&lt;&gt;""),IF(BA12='Official Results'!Q20,'Instructions &amp; Rules'!$K$4,IF(BA12='Official Results'!Q21,'Instructions &amp; Rules'!$K$6,0)),0)+IF(AND(BB12&lt;&gt;"",'Official Results'!Q21&lt;&gt;""),IF(BB12='Official Results'!Q21,'Instructions &amp; Rules'!$K$5,IF(BB12='Official Results'!Q20,'Instructions &amp; Rules'!$K$6,0)),0)+IF(AND(BC12&lt;&gt;"",'Official Results'!Q22&lt;&gt;"",'Official Results'!U22="Yes"),IF(BC12='Official Results'!Q22,'Instructions &amp; Rules'!$K$7,0),0)+IF(AND(BA12='Official Results'!Q20,BB12='Official Results'!Q21,'Official Results'!Q20&lt;&gt;"",'Official Results'!Q21&lt;&gt;""),'Instructions &amp; Rules'!$K$8,0)+IF(AND(BA12='Official Results'!Q20,BB12='Official Results'!Q21,BC12='Official Results'!Q22,'Official Results'!U22="Yes"),'Instructions &amp; Rules'!$K$9,0)</f>
        <v>2</v>
      </c>
      <c r="BE12" s="69">
        <f>IF(AND(BA12&lt;&gt;"",'Official Results'!Q20&lt;&gt;"",BA12='Official Results'!Q20),1,0)+IF(AND(BB12&lt;&gt;"",'Official Results'!Q21&lt;&gt;"",BB12='Official Results'!Q21),1,0)+IF(AND(BC12&lt;&gt;"",'Official Results'!Q22&lt;&gt;"",'Official Results'!U22="Yes",BC12='Official Results'!Q22),1,0)</f>
        <v>0</v>
      </c>
      <c r="BF12" s="101" t="s">
        <v>219</v>
      </c>
      <c r="BG12" s="102" t="s">
        <v>220</v>
      </c>
      <c r="BH12" s="103" t="s">
        <v>221</v>
      </c>
      <c r="BI12" s="68">
        <f>IF(AND(BF12&lt;&gt;"",'Official Results'!X20&lt;&gt;""),IF(BF12='Official Results'!X20,'Instructions &amp; Rules'!$K$4,IF(BF12='Official Results'!X21,'Instructions &amp; Rules'!$K$6,0)),0)+IF(AND(BG12&lt;&gt;"",'Official Results'!X21&lt;&gt;""),IF(BG12='Official Results'!X21,'Instructions &amp; Rules'!$K$5,IF(BG12='Official Results'!X20,'Instructions &amp; Rules'!$K$6,0)),0)+IF(AND(BH12&lt;&gt;"",'Official Results'!X22&lt;&gt;"",'Official Results'!AB22="Yes"),IF(BH12='Official Results'!X22,'Instructions &amp; Rules'!$K$7,0),0)+IF(AND(BF12='Official Results'!X20,BG12='Official Results'!X21,'Official Results'!X20&lt;&gt;"",'Official Results'!X21&lt;&gt;""),'Instructions &amp; Rules'!$K$8,0)+IF(AND(BF12='Official Results'!X20,BG12='Official Results'!X21,BH12='Official Results'!X22,'Official Results'!AB22="Yes"),'Instructions &amp; Rules'!$K$9,0)</f>
        <v>15</v>
      </c>
      <c r="BJ12" s="69">
        <f>IF(AND(BF12&lt;&gt;"",'Official Results'!X20&lt;&gt;"",BF12='Official Results'!X20),1,0)+IF(AND(BG12&lt;&gt;"",'Official Results'!X21&lt;&gt;"",BG12='Official Results'!X21),1,0)+IF(AND(BH12&lt;&gt;"",'Official Results'!X22&lt;&gt;"",'Official Results'!AB22="Yes",BH12='Official Results'!X22),1,0)</f>
        <v>3</v>
      </c>
      <c r="BK12" s="70">
        <f t="shared" si="0"/>
        <v>84</v>
      </c>
      <c r="BL12" s="71">
        <f t="shared" si="1"/>
        <v>16</v>
      </c>
      <c r="BM12" s="72">
        <f t="shared" si="2"/>
        <v>1</v>
      </c>
    </row>
    <row r="13" spans="1:65" ht="15" customHeight="1">
      <c r="A13" s="73" t="str">
        <f>IF(Players!B13="","",Players!B13)</f>
        <v>Aji</v>
      </c>
      <c r="B13" s="86"/>
      <c r="C13" s="101"/>
      <c r="D13" s="102"/>
      <c r="E13" s="103"/>
      <c r="F13" s="68">
        <f>IF(AND(C13&lt;&gt;"",'Official Results'!C6&lt;&gt;""),IF(C13='Official Results'!C6,'Instructions &amp; Rules'!$K$4,IF(C13='Official Results'!C7,'Instructions &amp; Rules'!$K$6,0)),0)+IF(AND(D13&lt;&gt;"",'Official Results'!C7&lt;&gt;""),IF(D13='Official Results'!C7,'Instructions &amp; Rules'!$K$5,IF(D13='Official Results'!C6,'Instructions &amp; Rules'!$K$6,0)),0)+IF(AND(E13&lt;&gt;"",'Official Results'!C8&lt;&gt;"",'Official Results'!G8="Yes"),IF(E13='Official Results'!C8,'Instructions &amp; Rules'!$K$7,0),0)+IF(AND(C13='Official Results'!C6,D13='Official Results'!C7,'Official Results'!C6&lt;&gt;"",'Official Results'!C7&lt;&gt;""),'Instructions &amp; Rules'!$K$8,0)+IF(AND(C13='Official Results'!C6,D13='Official Results'!C7,E13='Official Results'!C8,'Official Results'!G8="Yes"),'Instructions &amp; Rules'!$K$9,0)</f>
        <v>0</v>
      </c>
      <c r="G13" s="69">
        <f>IF(AND(C13&lt;&gt;"",'Official Results'!C6&lt;&gt;"",C13='Official Results'!C6),1,0)+IF(AND(D13&lt;&gt;"",'Official Results'!C7&lt;&gt;"",D13='Official Results'!C7),1,0)+IF(AND(E13&lt;&gt;"",'Official Results'!C8&lt;&gt;"",'Official Results'!G8="Yes",E13='Official Results'!C8),1,0)</f>
        <v>0</v>
      </c>
      <c r="H13" s="101"/>
      <c r="I13" s="102"/>
      <c r="J13" s="103"/>
      <c r="K13" s="68">
        <f>IF(AND(H13&lt;&gt;"",'Official Results'!J6&lt;&gt;""),IF(H13='Official Results'!J6,'Instructions &amp; Rules'!$K$4,IF(H13='Official Results'!J7,'Instructions &amp; Rules'!$K$6,0)),0)+IF(AND(I13&lt;&gt;"",'Official Results'!J7&lt;&gt;""),IF(I13='Official Results'!J7,'Instructions &amp; Rules'!$K$5,IF(I13='Official Results'!J6,'Instructions &amp; Rules'!$K$6,0)),0)+IF(AND(J13&lt;&gt;"",'Official Results'!J8&lt;&gt;"",'Official Results'!N8="Yes"),IF(J13='Official Results'!J8,'Instructions &amp; Rules'!$K$7,0),0)+IF(AND(H13='Official Results'!J6,I13='Official Results'!J7,'Official Results'!J6&lt;&gt;"",'Official Results'!J7&lt;&gt;""),'Instructions &amp; Rules'!$K$8,0)+IF(AND(H13='Official Results'!J6,I13='Official Results'!J7,J13='Official Results'!J8,'Official Results'!N8="Yes"),'Instructions &amp; Rules'!$K$9,0)</f>
        <v>0</v>
      </c>
      <c r="L13" s="69">
        <f>IF(AND(H13&lt;&gt;"",'Official Results'!J6&lt;&gt;"",H13='Official Results'!J6),1,0)+IF(AND(I13&lt;&gt;"",'Official Results'!J7&lt;&gt;"",I13='Official Results'!J7),1,0)+IF(AND(J13&lt;&gt;"",'Official Results'!J8&lt;&gt;"",'Official Results'!N8="Yes",J13='Official Results'!J8),1,0)</f>
        <v>0</v>
      </c>
      <c r="M13" s="101"/>
      <c r="N13" s="102"/>
      <c r="O13" s="103"/>
      <c r="P13" s="68">
        <f>IF(AND(M13&lt;&gt;"",'Official Results'!Q6&lt;&gt;""),IF(M13='Official Results'!Q6,'Instructions &amp; Rules'!$K$4,IF(M13='Official Results'!Q7,'Instructions &amp; Rules'!$K$6,0)),0)+IF(AND(N13&lt;&gt;"",'Official Results'!Q7&lt;&gt;""),IF(N13='Official Results'!Q7,'Instructions &amp; Rules'!$K$5,IF(N13='Official Results'!Q6,'Instructions &amp; Rules'!$K$6,0)),0)+IF(AND(O13&lt;&gt;"",'Official Results'!Q8&lt;&gt;"",'Official Results'!U8="Yes"),IF(O13='Official Results'!Q8,'Instructions &amp; Rules'!$K$7,0),0)+IF(AND(M13='Official Results'!Q6,N13='Official Results'!Q7,'Official Results'!Q6&lt;&gt;"",'Official Results'!Q7&lt;&gt;""),'Instructions &amp; Rules'!$K$8,0)+IF(AND(M13='Official Results'!Q6,N13='Official Results'!Q7,O13='Official Results'!Q8,'Official Results'!U8="Yes"),'Instructions &amp; Rules'!$K$9,0)</f>
        <v>0</v>
      </c>
      <c r="Q13" s="69">
        <f>IF(AND(M13&lt;&gt;"",'Official Results'!Q6&lt;&gt;"",M13='Official Results'!Q6),1,0)+IF(AND(N13&lt;&gt;"",'Official Results'!Q7&lt;&gt;"",N13='Official Results'!Q7),1,0)+IF(AND(O13&lt;&gt;"",'Official Results'!Q8&lt;&gt;"",'Official Results'!U8="Yes",O13='Official Results'!Q8),1,0)</f>
        <v>0</v>
      </c>
      <c r="R13" s="101"/>
      <c r="S13" s="102"/>
      <c r="T13" s="103"/>
      <c r="U13" s="68">
        <f>IF(AND(R13&lt;&gt;"",'Official Results'!X6&lt;&gt;""),IF(R13='Official Results'!X6,'Instructions &amp; Rules'!$K$4,IF(R13='Official Results'!X7,'Instructions &amp; Rules'!$K$6,0)),0)+IF(AND(S13&lt;&gt;"",'Official Results'!X7&lt;&gt;""),IF(S13='Official Results'!X7,'Instructions &amp; Rules'!$K$5,IF(S13='Official Results'!X6,'Instructions &amp; Rules'!$K$6,0)),0)+IF(AND(T13&lt;&gt;"",'Official Results'!X8&lt;&gt;"",'Official Results'!AB8="Yes"),IF(T13='Official Results'!X8,'Instructions &amp; Rules'!$K$7,0),0)+IF(AND(R13='Official Results'!X6,S13='Official Results'!X7,'Official Results'!X6&lt;&gt;"",'Official Results'!X7&lt;&gt;""),'Instructions &amp; Rules'!$K$8,0)+IF(AND(R13='Official Results'!X6,S13='Official Results'!X7,T13='Official Results'!X8,'Official Results'!AB8="Yes"),'Instructions &amp; Rules'!$K$9,0)</f>
        <v>0</v>
      </c>
      <c r="V13" s="69">
        <f>IF(AND(R13&lt;&gt;"",'Official Results'!X6&lt;&gt;"",R13='Official Results'!X6),1,0)+IF(AND(S13&lt;&gt;"",'Official Results'!X7&lt;&gt;"",S13='Official Results'!X7),1,0)+IF(AND(T13&lt;&gt;"",'Official Results'!X8&lt;&gt;"",'Official Results'!AB8="Yes",T13='Official Results'!X8),1,0)</f>
        <v>0</v>
      </c>
      <c r="W13" s="101"/>
      <c r="X13" s="102"/>
      <c r="Y13" s="103"/>
      <c r="Z13" s="68">
        <f>IF(AND(W13&lt;&gt;"",'Official Results'!C13&lt;&gt;""),IF(W13='Official Results'!C13,'Instructions &amp; Rules'!$K$4,IF(W13='Official Results'!C14,'Instructions &amp; Rules'!$K$6,0)),0)+IF(AND(X13&lt;&gt;"",'Official Results'!C14&lt;&gt;""),IF(X13='Official Results'!C14,'Instructions &amp; Rules'!$K$5,IF(X13='Official Results'!C13,'Instructions &amp; Rules'!$K$6,0)),0)+IF(AND(Y13&lt;&gt;"",'Official Results'!C15&lt;&gt;"",'Official Results'!G15="Yes"),IF(Y13='Official Results'!C15,'Instructions &amp; Rules'!$K$7,0),0)+IF(AND(W13='Official Results'!C13,X13='Official Results'!C14,'Official Results'!C13&lt;&gt;"",'Official Results'!C14&lt;&gt;""),'Instructions &amp; Rules'!$K$8,0)+IF(AND(W13='Official Results'!C13,X13='Official Results'!C14,Y13='Official Results'!C15,'Official Results'!G15="Yes"),'Instructions &amp; Rules'!$K$9,0)</f>
        <v>0</v>
      </c>
      <c r="AA13" s="69">
        <f>IF(AND(W13&lt;&gt;"",'Official Results'!C13&lt;&gt;"",W13='Official Results'!C13),1,0)+IF(AND(X13&lt;&gt;"",'Official Results'!C14&lt;&gt;"",X13='Official Results'!C14),1,0)+IF(AND(Y13&lt;&gt;"",'Official Results'!C15&lt;&gt;"",'Official Results'!G15="Yes",Y13='Official Results'!C15),1,0)</f>
        <v>0</v>
      </c>
      <c r="AB13" s="101"/>
      <c r="AC13" s="102"/>
      <c r="AD13" s="103"/>
      <c r="AE13" s="68">
        <f>IF(AND(AB13&lt;&gt;"",'Official Results'!J13&lt;&gt;""),IF(AB13='Official Results'!J13,'Instructions &amp; Rules'!$K$4,IF(AB13='Official Results'!J14,'Instructions &amp; Rules'!$K$6,0)),0)+IF(AND(AC13&lt;&gt;"",'Official Results'!J14&lt;&gt;""),IF(AC13='Official Results'!J14,'Instructions &amp; Rules'!$K$5,IF(AC13='Official Results'!J13,'Instructions &amp; Rules'!$K$6,0)),0)+IF(AND(AD13&lt;&gt;"",'Official Results'!J15&lt;&gt;"",'Official Results'!N15="Yes"),IF(AD13='Official Results'!J15,'Instructions &amp; Rules'!$K$7,0),0)+IF(AND(AB13='Official Results'!J13,AC13='Official Results'!J14,'Official Results'!J13&lt;&gt;"",'Official Results'!J14&lt;&gt;""),'Instructions &amp; Rules'!$K$8,0)+IF(AND(AB13='Official Results'!J13,AC13='Official Results'!J14,AD13='Official Results'!J15,'Official Results'!N15="Yes"),'Instructions &amp; Rules'!$K$9,0)</f>
        <v>0</v>
      </c>
      <c r="AF13" s="69">
        <f>IF(AND(AB13&lt;&gt;"",'Official Results'!J13&lt;&gt;"",AB13='Official Results'!J13),1,0)+IF(AND(AC13&lt;&gt;"",'Official Results'!J14&lt;&gt;"",AC13='Official Results'!J14),1,0)+IF(AND(AD13&lt;&gt;"",'Official Results'!J15&lt;&gt;"",'Official Results'!N15="Yes",AD13='Official Results'!J15),1,0)</f>
        <v>0</v>
      </c>
      <c r="AG13" s="101"/>
      <c r="AH13" s="102"/>
      <c r="AI13" s="103"/>
      <c r="AJ13" s="68">
        <f>IF(AND(AG13&lt;&gt;"",'Official Results'!Q13&lt;&gt;""),IF(AG13='Official Results'!Q13,'Instructions &amp; Rules'!$K$4,IF(AG13='Official Results'!Q14,'Instructions &amp; Rules'!$K$6,0)),0)+IF(AND(AH13&lt;&gt;"",'Official Results'!Q14&lt;&gt;""),IF(AH13='Official Results'!Q14,'Instructions &amp; Rules'!$K$5,IF(AH13='Official Results'!Q13,'Instructions &amp; Rules'!$K$6,0)),0)+IF(AND(AI13&lt;&gt;"",'Official Results'!Q15&lt;&gt;"",'Official Results'!U15="Yes"),IF(AI13='Official Results'!Q15,'Instructions &amp; Rules'!$K$7,0),0)+IF(AND(AG13='Official Results'!Q13,AH13='Official Results'!Q14,'Official Results'!Q13&lt;&gt;"",'Official Results'!Q14&lt;&gt;""),'Instructions &amp; Rules'!$K$8,0)+IF(AND(AG13='Official Results'!Q13,AH13='Official Results'!Q14,AI13='Official Results'!Q15,'Official Results'!U15="Yes"),'Instructions &amp; Rules'!$K$9,0)</f>
        <v>0</v>
      </c>
      <c r="AK13" s="69">
        <f>IF(AND(AG13&lt;&gt;"",'Official Results'!Q13&lt;&gt;"",AG13='Official Results'!Q13),1,0)+IF(AND(AH13&lt;&gt;"",'Official Results'!Q14&lt;&gt;"",AH13='Official Results'!Q14),1,0)+IF(AND(AI13&lt;&gt;"",'Official Results'!Q15&lt;&gt;"",'Official Results'!U15="Yes",AI13='Official Results'!Q15),1,0)</f>
        <v>0</v>
      </c>
      <c r="AL13" s="101"/>
      <c r="AM13" s="102"/>
      <c r="AN13" s="103"/>
      <c r="AO13" s="68">
        <f>IF(AND(AL13&lt;&gt;"",'Official Results'!X13&lt;&gt;""),IF(AL13='Official Results'!X13,'Instructions &amp; Rules'!$K$4,IF(AL13='Official Results'!X14,'Instructions &amp; Rules'!$K$6,0)),0)+IF(AND(AM13&lt;&gt;"",'Official Results'!X14&lt;&gt;""),IF(AM13='Official Results'!X14,'Instructions &amp; Rules'!$K$5,IF(AM13='Official Results'!X13,'Instructions &amp; Rules'!$K$6,0)),0)+IF(AND(AN13&lt;&gt;"",'Official Results'!X15&lt;&gt;"",'Official Results'!AB15="Yes"),IF(AN13='Official Results'!X15,'Instructions &amp; Rules'!$K$7,0),0)+IF(AND(AL13='Official Results'!X13,AM13='Official Results'!X14,'Official Results'!X13&lt;&gt;"",'Official Results'!X14&lt;&gt;""),'Instructions &amp; Rules'!$K$8,0)+IF(AND(AL13='Official Results'!X13,AM13='Official Results'!X14,AN13='Official Results'!X15,'Official Results'!AB15="Yes"),'Instructions &amp; Rules'!$K$9,0)</f>
        <v>0</v>
      </c>
      <c r="AP13" s="69">
        <f>IF(AND(AL13&lt;&gt;"",'Official Results'!X13&lt;&gt;"",AL13='Official Results'!X13),1,0)+IF(AND(AM13&lt;&gt;"",'Official Results'!X14&lt;&gt;"",AM13='Official Results'!X14),1,0)+IF(AND(AN13&lt;&gt;"",'Official Results'!X15&lt;&gt;"",'Official Results'!AB15="Yes",AN13='Official Results'!X15),1,0)</f>
        <v>0</v>
      </c>
      <c r="AQ13" s="101"/>
      <c r="AR13" s="102"/>
      <c r="AS13" s="103"/>
      <c r="AT13" s="68">
        <f>IF(AND(AQ13&lt;&gt;"",'Official Results'!C20&lt;&gt;""),IF(AQ13='Official Results'!C20,'Instructions &amp; Rules'!$K$4,IF(AQ13='Official Results'!C21,'Instructions &amp; Rules'!$K$6,0)),0)+IF(AND(AR13&lt;&gt;"",'Official Results'!C21&lt;&gt;""),IF(AR13='Official Results'!C21,'Instructions &amp; Rules'!$K$5,IF(AR13='Official Results'!C20,'Instructions &amp; Rules'!$K$6,0)),0)+IF(AND(AS13&lt;&gt;"",'Official Results'!C22&lt;&gt;"",'Official Results'!G22="Yes"),IF(AS13='Official Results'!C22,'Instructions &amp; Rules'!$K$7,0),0)+IF(AND(AQ13='Official Results'!C20,AR13='Official Results'!C21,'Official Results'!C20&lt;&gt;"",'Official Results'!C21&lt;&gt;""),'Instructions &amp; Rules'!$K$8,0)+IF(AND(AQ13='Official Results'!C20,AR13='Official Results'!C21,AS13='Official Results'!C22,'Official Results'!G22="Yes"),'Instructions &amp; Rules'!$K$9,0)</f>
        <v>0</v>
      </c>
      <c r="AU13" s="69">
        <f>IF(AND(AQ13&lt;&gt;"",'Official Results'!C20&lt;&gt;"",AQ13='Official Results'!C20),1,0)+IF(AND(AR13&lt;&gt;"",'Official Results'!C21&lt;&gt;"",AR13='Official Results'!C21),1,0)+IF(AND(AS13&lt;&gt;"",'Official Results'!C22&lt;&gt;"",'Official Results'!G22="Yes",AS13='Official Results'!C22),1,0)</f>
        <v>0</v>
      </c>
      <c r="AV13" s="101"/>
      <c r="AW13" s="102"/>
      <c r="AX13" s="103"/>
      <c r="AY13" s="68">
        <f>IF(AND(AV13&lt;&gt;"",'Official Results'!J20&lt;&gt;""),IF(AV13='Official Results'!J20,'Instructions &amp; Rules'!$K$4,IF(AV13='Official Results'!J21,'Instructions &amp; Rules'!$K$6,0)),0)+IF(AND(AW13&lt;&gt;"",'Official Results'!J21&lt;&gt;""),IF(AW13='Official Results'!J21,'Instructions &amp; Rules'!$K$5,IF(AW13='Official Results'!J20,'Instructions &amp; Rules'!$K$6,0)),0)+IF(AND(AX13&lt;&gt;"",'Official Results'!J22&lt;&gt;"",'Official Results'!N22="Yes"),IF(AX13='Official Results'!J22,'Instructions &amp; Rules'!$K$7,0),0)+IF(AND(AV13='Official Results'!J20,AW13='Official Results'!J21,'Official Results'!J20&lt;&gt;"",'Official Results'!J21&lt;&gt;""),'Instructions &amp; Rules'!$K$8,0)+IF(AND(AV13='Official Results'!J20,AW13='Official Results'!J21,AX13='Official Results'!J22,'Official Results'!N22="Yes"),'Instructions &amp; Rules'!$K$9,0)</f>
        <v>0</v>
      </c>
      <c r="AZ13" s="69">
        <f>IF(AND(AV13&lt;&gt;"",'Official Results'!J20&lt;&gt;"",AV13='Official Results'!J20),1,0)+IF(AND(AW13&lt;&gt;"",'Official Results'!J21&lt;&gt;"",AW13='Official Results'!J21),1,0)+IF(AND(AX13&lt;&gt;"",'Official Results'!J22&lt;&gt;"",'Official Results'!N22="Yes",AX13='Official Results'!J22),1,0)</f>
        <v>0</v>
      </c>
      <c r="BA13" s="101"/>
      <c r="BB13" s="102"/>
      <c r="BC13" s="103"/>
      <c r="BD13" s="68">
        <f>IF(AND(BA13&lt;&gt;"",'Official Results'!Q20&lt;&gt;""),IF(BA13='Official Results'!Q20,'Instructions &amp; Rules'!$K$4,IF(BA13='Official Results'!Q21,'Instructions &amp; Rules'!$K$6,0)),0)+IF(AND(BB13&lt;&gt;"",'Official Results'!Q21&lt;&gt;""),IF(BB13='Official Results'!Q21,'Instructions &amp; Rules'!$K$5,IF(BB13='Official Results'!Q20,'Instructions &amp; Rules'!$K$6,0)),0)+IF(AND(BC13&lt;&gt;"",'Official Results'!Q22&lt;&gt;"",'Official Results'!U22="Yes"),IF(BC13='Official Results'!Q22,'Instructions &amp; Rules'!$K$7,0),0)+IF(AND(BA13='Official Results'!Q20,BB13='Official Results'!Q21,'Official Results'!Q20&lt;&gt;"",'Official Results'!Q21&lt;&gt;""),'Instructions &amp; Rules'!$K$8,0)+IF(AND(BA13='Official Results'!Q20,BB13='Official Results'!Q21,BC13='Official Results'!Q22,'Official Results'!U22="Yes"),'Instructions &amp; Rules'!$K$9,0)</f>
        <v>0</v>
      </c>
      <c r="BE13" s="69">
        <f>IF(AND(BA13&lt;&gt;"",'Official Results'!Q20&lt;&gt;"",BA13='Official Results'!Q20),1,0)+IF(AND(BB13&lt;&gt;"",'Official Results'!Q21&lt;&gt;"",BB13='Official Results'!Q21),1,0)+IF(AND(BC13&lt;&gt;"",'Official Results'!Q22&lt;&gt;"",'Official Results'!U22="Yes",BC13='Official Results'!Q22),1,0)</f>
        <v>0</v>
      </c>
      <c r="BF13" s="101"/>
      <c r="BG13" s="102"/>
      <c r="BH13" s="103"/>
      <c r="BI13" s="68">
        <f>IF(AND(BF13&lt;&gt;"",'Official Results'!X20&lt;&gt;""),IF(BF13='Official Results'!X20,'Instructions &amp; Rules'!$K$4,IF(BF13='Official Results'!X21,'Instructions &amp; Rules'!$K$6,0)),0)+IF(AND(BG13&lt;&gt;"",'Official Results'!X21&lt;&gt;""),IF(BG13='Official Results'!X21,'Instructions &amp; Rules'!$K$5,IF(BG13='Official Results'!X20,'Instructions &amp; Rules'!$K$6,0)),0)+IF(AND(BH13&lt;&gt;"",'Official Results'!X22&lt;&gt;"",'Official Results'!AB22="Yes"),IF(BH13='Official Results'!X22,'Instructions &amp; Rules'!$K$7,0),0)+IF(AND(BF13='Official Results'!X20,BG13='Official Results'!X21,'Official Results'!X20&lt;&gt;"",'Official Results'!X21&lt;&gt;""),'Instructions &amp; Rules'!$K$8,0)+IF(AND(BF13='Official Results'!X20,BG13='Official Results'!X21,BH13='Official Results'!X22,'Official Results'!AB22="Yes"),'Instructions &amp; Rules'!$K$9,0)</f>
        <v>0</v>
      </c>
      <c r="BJ13" s="69">
        <f>IF(AND(BF13&lt;&gt;"",'Official Results'!X20&lt;&gt;"",BF13='Official Results'!X20),1,0)+IF(AND(BG13&lt;&gt;"",'Official Results'!X21&lt;&gt;"",BG13='Official Results'!X21),1,0)+IF(AND(BH13&lt;&gt;"",'Official Results'!X22&lt;&gt;"",'Official Results'!AB22="Yes",BH13='Official Results'!X22),1,0)</f>
        <v>0</v>
      </c>
      <c r="BK13" s="70">
        <f t="shared" si="0"/>
        <v>0</v>
      </c>
      <c r="BL13" s="71">
        <f t="shared" si="1"/>
        <v>0</v>
      </c>
      <c r="BM13" s="72">
        <f t="shared" si="2"/>
        <v>0</v>
      </c>
    </row>
    <row r="14" spans="1:65" ht="15" customHeight="1">
      <c r="A14" s="73" t="str">
        <f>IF(Players!B14="","",Players!B14)</f>
        <v>Dausman</v>
      </c>
      <c r="B14" s="86"/>
      <c r="C14" s="101"/>
      <c r="D14" s="102"/>
      <c r="E14" s="103"/>
      <c r="F14" s="68">
        <f>IF(AND(C14&lt;&gt;"",'Official Results'!C6&lt;&gt;""),IF(C14='Official Results'!C6,'Instructions &amp; Rules'!$K$4,IF(C14='Official Results'!C7,'Instructions &amp; Rules'!$K$6,0)),0)+IF(AND(D14&lt;&gt;"",'Official Results'!C7&lt;&gt;""),IF(D14='Official Results'!C7,'Instructions &amp; Rules'!$K$5,IF(D14='Official Results'!C6,'Instructions &amp; Rules'!$K$6,0)),0)+IF(AND(E14&lt;&gt;"",'Official Results'!C8&lt;&gt;"",'Official Results'!G8="Yes"),IF(E14='Official Results'!C8,'Instructions &amp; Rules'!$K$7,0),0)+IF(AND(C14='Official Results'!C6,D14='Official Results'!C7,'Official Results'!C6&lt;&gt;"",'Official Results'!C7&lt;&gt;""),'Instructions &amp; Rules'!$K$8,0)+IF(AND(C14='Official Results'!C6,D14='Official Results'!C7,E14='Official Results'!C8,'Official Results'!G8="Yes"),'Instructions &amp; Rules'!$K$9,0)</f>
        <v>0</v>
      </c>
      <c r="G14" s="69">
        <f>IF(AND(C14&lt;&gt;"",'Official Results'!C6&lt;&gt;"",C14='Official Results'!C6),1,0)+IF(AND(D14&lt;&gt;"",'Official Results'!C7&lt;&gt;"",D14='Official Results'!C7),1,0)+IF(AND(E14&lt;&gt;"",'Official Results'!C8&lt;&gt;"",'Official Results'!G8="Yes",E14='Official Results'!C8),1,0)</f>
        <v>0</v>
      </c>
      <c r="H14" s="101"/>
      <c r="I14" s="102"/>
      <c r="J14" s="103"/>
      <c r="K14" s="68">
        <f>IF(AND(H14&lt;&gt;"",'Official Results'!J6&lt;&gt;""),IF(H14='Official Results'!J6,'Instructions &amp; Rules'!$K$4,IF(H14='Official Results'!J7,'Instructions &amp; Rules'!$K$6,0)),0)+IF(AND(I14&lt;&gt;"",'Official Results'!J7&lt;&gt;""),IF(I14='Official Results'!J7,'Instructions &amp; Rules'!$K$5,IF(I14='Official Results'!J6,'Instructions &amp; Rules'!$K$6,0)),0)+IF(AND(J14&lt;&gt;"",'Official Results'!J8&lt;&gt;"",'Official Results'!N8="Yes"),IF(J14='Official Results'!J8,'Instructions &amp; Rules'!$K$7,0),0)+IF(AND(H14='Official Results'!J6,I14='Official Results'!J7,'Official Results'!J6&lt;&gt;"",'Official Results'!J7&lt;&gt;""),'Instructions &amp; Rules'!$K$8,0)+IF(AND(H14='Official Results'!J6,I14='Official Results'!J7,J14='Official Results'!J8,'Official Results'!N8="Yes"),'Instructions &amp; Rules'!$K$9,0)</f>
        <v>0</v>
      </c>
      <c r="L14" s="69">
        <f>IF(AND(H14&lt;&gt;"",'Official Results'!J6&lt;&gt;"",H14='Official Results'!J6),1,0)+IF(AND(I14&lt;&gt;"",'Official Results'!J7&lt;&gt;"",I14='Official Results'!J7),1,0)+IF(AND(J14&lt;&gt;"",'Official Results'!J8&lt;&gt;"",'Official Results'!N8="Yes",J14='Official Results'!J8),1,0)</f>
        <v>0</v>
      </c>
      <c r="M14" s="101"/>
      <c r="N14" s="102"/>
      <c r="O14" s="103"/>
      <c r="P14" s="68">
        <f>IF(AND(M14&lt;&gt;"",'Official Results'!Q6&lt;&gt;""),IF(M14='Official Results'!Q6,'Instructions &amp; Rules'!$K$4,IF(M14='Official Results'!Q7,'Instructions &amp; Rules'!$K$6,0)),0)+IF(AND(N14&lt;&gt;"",'Official Results'!Q7&lt;&gt;""),IF(N14='Official Results'!Q7,'Instructions &amp; Rules'!$K$5,IF(N14='Official Results'!Q6,'Instructions &amp; Rules'!$K$6,0)),0)+IF(AND(O14&lt;&gt;"",'Official Results'!Q8&lt;&gt;"",'Official Results'!U8="Yes"),IF(O14='Official Results'!Q8,'Instructions &amp; Rules'!$K$7,0),0)+IF(AND(M14='Official Results'!Q6,N14='Official Results'!Q7,'Official Results'!Q6&lt;&gt;"",'Official Results'!Q7&lt;&gt;""),'Instructions &amp; Rules'!$K$8,0)+IF(AND(M14='Official Results'!Q6,N14='Official Results'!Q7,O14='Official Results'!Q8,'Official Results'!U8="Yes"),'Instructions &amp; Rules'!$K$9,0)</f>
        <v>0</v>
      </c>
      <c r="Q14" s="69">
        <f>IF(AND(M14&lt;&gt;"",'Official Results'!Q6&lt;&gt;"",M14='Official Results'!Q6),1,0)+IF(AND(N14&lt;&gt;"",'Official Results'!Q7&lt;&gt;"",N14='Official Results'!Q7),1,0)+IF(AND(O14&lt;&gt;"",'Official Results'!Q8&lt;&gt;"",'Official Results'!U8="Yes",O14='Official Results'!Q8),1,0)</f>
        <v>0</v>
      </c>
      <c r="R14" s="101"/>
      <c r="S14" s="102"/>
      <c r="T14" s="103"/>
      <c r="U14" s="68">
        <f>IF(AND(R14&lt;&gt;"",'Official Results'!X6&lt;&gt;""),IF(R14='Official Results'!X6,'Instructions &amp; Rules'!$K$4,IF(R14='Official Results'!X7,'Instructions &amp; Rules'!$K$6,0)),0)+IF(AND(S14&lt;&gt;"",'Official Results'!X7&lt;&gt;""),IF(S14='Official Results'!X7,'Instructions &amp; Rules'!$K$5,IF(S14='Official Results'!X6,'Instructions &amp; Rules'!$K$6,0)),0)+IF(AND(T14&lt;&gt;"",'Official Results'!X8&lt;&gt;"",'Official Results'!AB8="Yes"),IF(T14='Official Results'!X8,'Instructions &amp; Rules'!$K$7,0),0)+IF(AND(R14='Official Results'!X6,S14='Official Results'!X7,'Official Results'!X6&lt;&gt;"",'Official Results'!X7&lt;&gt;""),'Instructions &amp; Rules'!$K$8,0)+IF(AND(R14='Official Results'!X6,S14='Official Results'!X7,T14='Official Results'!X8,'Official Results'!AB8="Yes"),'Instructions &amp; Rules'!$K$9,0)</f>
        <v>0</v>
      </c>
      <c r="V14" s="69">
        <f>IF(AND(R14&lt;&gt;"",'Official Results'!X6&lt;&gt;"",R14='Official Results'!X6),1,0)+IF(AND(S14&lt;&gt;"",'Official Results'!X7&lt;&gt;"",S14='Official Results'!X7),1,0)+IF(AND(T14&lt;&gt;"",'Official Results'!X8&lt;&gt;"",'Official Results'!AB8="Yes",T14='Official Results'!X8),1,0)</f>
        <v>0</v>
      </c>
      <c r="W14" s="101"/>
      <c r="X14" s="102"/>
      <c r="Y14" s="103"/>
      <c r="Z14" s="68">
        <f>IF(AND(W14&lt;&gt;"",'Official Results'!C13&lt;&gt;""),IF(W14='Official Results'!C13,'Instructions &amp; Rules'!$K$4,IF(W14='Official Results'!C14,'Instructions &amp; Rules'!$K$6,0)),0)+IF(AND(X14&lt;&gt;"",'Official Results'!C14&lt;&gt;""),IF(X14='Official Results'!C14,'Instructions &amp; Rules'!$K$5,IF(X14='Official Results'!C13,'Instructions &amp; Rules'!$K$6,0)),0)+IF(AND(Y14&lt;&gt;"",'Official Results'!C15&lt;&gt;"",'Official Results'!G15="Yes"),IF(Y14='Official Results'!C15,'Instructions &amp; Rules'!$K$7,0),0)+IF(AND(W14='Official Results'!C13,X14='Official Results'!C14,'Official Results'!C13&lt;&gt;"",'Official Results'!C14&lt;&gt;""),'Instructions &amp; Rules'!$K$8,0)+IF(AND(W14='Official Results'!C13,X14='Official Results'!C14,Y14='Official Results'!C15,'Official Results'!G15="Yes"),'Instructions &amp; Rules'!$K$9,0)</f>
        <v>0</v>
      </c>
      <c r="AA14" s="69">
        <f>IF(AND(W14&lt;&gt;"",'Official Results'!C13&lt;&gt;"",W14='Official Results'!C13),1,0)+IF(AND(X14&lt;&gt;"",'Official Results'!C14&lt;&gt;"",X14='Official Results'!C14),1,0)+IF(AND(Y14&lt;&gt;"",'Official Results'!C15&lt;&gt;"",'Official Results'!G15="Yes",Y14='Official Results'!C15),1,0)</f>
        <v>0</v>
      </c>
      <c r="AB14" s="101"/>
      <c r="AC14" s="102"/>
      <c r="AD14" s="103"/>
      <c r="AE14" s="68">
        <f>IF(AND(AB14&lt;&gt;"",'Official Results'!J13&lt;&gt;""),IF(AB14='Official Results'!J13,'Instructions &amp; Rules'!$K$4,IF(AB14='Official Results'!J14,'Instructions &amp; Rules'!$K$6,0)),0)+IF(AND(AC14&lt;&gt;"",'Official Results'!J14&lt;&gt;""),IF(AC14='Official Results'!J14,'Instructions &amp; Rules'!$K$5,IF(AC14='Official Results'!J13,'Instructions &amp; Rules'!$K$6,0)),0)+IF(AND(AD14&lt;&gt;"",'Official Results'!J15&lt;&gt;"",'Official Results'!N15="Yes"),IF(AD14='Official Results'!J15,'Instructions &amp; Rules'!$K$7,0),0)+IF(AND(AB14='Official Results'!J13,AC14='Official Results'!J14,'Official Results'!J13&lt;&gt;"",'Official Results'!J14&lt;&gt;""),'Instructions &amp; Rules'!$K$8,0)+IF(AND(AB14='Official Results'!J13,AC14='Official Results'!J14,AD14='Official Results'!J15,'Official Results'!N15="Yes"),'Instructions &amp; Rules'!$K$9,0)</f>
        <v>0</v>
      </c>
      <c r="AF14" s="69">
        <f>IF(AND(AB14&lt;&gt;"",'Official Results'!J13&lt;&gt;"",AB14='Official Results'!J13),1,0)+IF(AND(AC14&lt;&gt;"",'Official Results'!J14&lt;&gt;"",AC14='Official Results'!J14),1,0)+IF(AND(AD14&lt;&gt;"",'Official Results'!J15&lt;&gt;"",'Official Results'!N15="Yes",AD14='Official Results'!J15),1,0)</f>
        <v>0</v>
      </c>
      <c r="AG14" s="101"/>
      <c r="AH14" s="102"/>
      <c r="AI14" s="103"/>
      <c r="AJ14" s="68">
        <f>IF(AND(AG14&lt;&gt;"",'Official Results'!Q13&lt;&gt;""),IF(AG14='Official Results'!Q13,'Instructions &amp; Rules'!$K$4,IF(AG14='Official Results'!Q14,'Instructions &amp; Rules'!$K$6,0)),0)+IF(AND(AH14&lt;&gt;"",'Official Results'!Q14&lt;&gt;""),IF(AH14='Official Results'!Q14,'Instructions &amp; Rules'!$K$5,IF(AH14='Official Results'!Q13,'Instructions &amp; Rules'!$K$6,0)),0)+IF(AND(AI14&lt;&gt;"",'Official Results'!Q15&lt;&gt;"",'Official Results'!U15="Yes"),IF(AI14='Official Results'!Q15,'Instructions &amp; Rules'!$K$7,0),0)+IF(AND(AG14='Official Results'!Q13,AH14='Official Results'!Q14,'Official Results'!Q13&lt;&gt;"",'Official Results'!Q14&lt;&gt;""),'Instructions &amp; Rules'!$K$8,0)+IF(AND(AG14='Official Results'!Q13,AH14='Official Results'!Q14,AI14='Official Results'!Q15,'Official Results'!U15="Yes"),'Instructions &amp; Rules'!$K$9,0)</f>
        <v>0</v>
      </c>
      <c r="AK14" s="69">
        <f>IF(AND(AG14&lt;&gt;"",'Official Results'!Q13&lt;&gt;"",AG14='Official Results'!Q13),1,0)+IF(AND(AH14&lt;&gt;"",'Official Results'!Q14&lt;&gt;"",AH14='Official Results'!Q14),1,0)+IF(AND(AI14&lt;&gt;"",'Official Results'!Q15&lt;&gt;"",'Official Results'!U15="Yes",AI14='Official Results'!Q15),1,0)</f>
        <v>0</v>
      </c>
      <c r="AL14" s="101"/>
      <c r="AM14" s="102"/>
      <c r="AN14" s="103"/>
      <c r="AO14" s="68">
        <f>IF(AND(AL14&lt;&gt;"",'Official Results'!X13&lt;&gt;""),IF(AL14='Official Results'!X13,'Instructions &amp; Rules'!$K$4,IF(AL14='Official Results'!X14,'Instructions &amp; Rules'!$K$6,0)),0)+IF(AND(AM14&lt;&gt;"",'Official Results'!X14&lt;&gt;""),IF(AM14='Official Results'!X14,'Instructions &amp; Rules'!$K$5,IF(AM14='Official Results'!X13,'Instructions &amp; Rules'!$K$6,0)),0)+IF(AND(AN14&lt;&gt;"",'Official Results'!X15&lt;&gt;"",'Official Results'!AB15="Yes"),IF(AN14='Official Results'!X15,'Instructions &amp; Rules'!$K$7,0),0)+IF(AND(AL14='Official Results'!X13,AM14='Official Results'!X14,'Official Results'!X13&lt;&gt;"",'Official Results'!X14&lt;&gt;""),'Instructions &amp; Rules'!$K$8,0)+IF(AND(AL14='Official Results'!X13,AM14='Official Results'!X14,AN14='Official Results'!X15,'Official Results'!AB15="Yes"),'Instructions &amp; Rules'!$K$9,0)</f>
        <v>0</v>
      </c>
      <c r="AP14" s="69">
        <f>IF(AND(AL14&lt;&gt;"",'Official Results'!X13&lt;&gt;"",AL14='Official Results'!X13),1,0)+IF(AND(AM14&lt;&gt;"",'Official Results'!X14&lt;&gt;"",AM14='Official Results'!X14),1,0)+IF(AND(AN14&lt;&gt;"",'Official Results'!X15&lt;&gt;"",'Official Results'!AB15="Yes",AN14='Official Results'!X15),1,0)</f>
        <v>0</v>
      </c>
      <c r="AQ14" s="101"/>
      <c r="AR14" s="102"/>
      <c r="AS14" s="103"/>
      <c r="AT14" s="68">
        <f>IF(AND(AQ14&lt;&gt;"",'Official Results'!C20&lt;&gt;""),IF(AQ14='Official Results'!C20,'Instructions &amp; Rules'!$K$4,IF(AQ14='Official Results'!C21,'Instructions &amp; Rules'!$K$6,0)),0)+IF(AND(AR14&lt;&gt;"",'Official Results'!C21&lt;&gt;""),IF(AR14='Official Results'!C21,'Instructions &amp; Rules'!$K$5,IF(AR14='Official Results'!C20,'Instructions &amp; Rules'!$K$6,0)),0)+IF(AND(AS14&lt;&gt;"",'Official Results'!C22&lt;&gt;"",'Official Results'!G22="Yes"),IF(AS14='Official Results'!C22,'Instructions &amp; Rules'!$K$7,0),0)+IF(AND(AQ14='Official Results'!C20,AR14='Official Results'!C21,'Official Results'!C20&lt;&gt;"",'Official Results'!C21&lt;&gt;""),'Instructions &amp; Rules'!$K$8,0)+IF(AND(AQ14='Official Results'!C20,AR14='Official Results'!C21,AS14='Official Results'!C22,'Official Results'!G22="Yes"),'Instructions &amp; Rules'!$K$9,0)</f>
        <v>0</v>
      </c>
      <c r="AU14" s="69">
        <f>IF(AND(AQ14&lt;&gt;"",'Official Results'!C20&lt;&gt;"",AQ14='Official Results'!C20),1,0)+IF(AND(AR14&lt;&gt;"",'Official Results'!C21&lt;&gt;"",AR14='Official Results'!C21),1,0)+IF(AND(AS14&lt;&gt;"",'Official Results'!C22&lt;&gt;"",'Official Results'!G22="Yes",AS14='Official Results'!C22),1,0)</f>
        <v>0</v>
      </c>
      <c r="AV14" s="101"/>
      <c r="AW14" s="102"/>
      <c r="AX14" s="103"/>
      <c r="AY14" s="68">
        <f>IF(AND(AV14&lt;&gt;"",'Official Results'!J20&lt;&gt;""),IF(AV14='Official Results'!J20,'Instructions &amp; Rules'!$K$4,IF(AV14='Official Results'!J21,'Instructions &amp; Rules'!$K$6,0)),0)+IF(AND(AW14&lt;&gt;"",'Official Results'!J21&lt;&gt;""),IF(AW14='Official Results'!J21,'Instructions &amp; Rules'!$K$5,IF(AW14='Official Results'!J20,'Instructions &amp; Rules'!$K$6,0)),0)+IF(AND(AX14&lt;&gt;"",'Official Results'!J22&lt;&gt;"",'Official Results'!N22="Yes"),IF(AX14='Official Results'!J22,'Instructions &amp; Rules'!$K$7,0),0)+IF(AND(AV14='Official Results'!J20,AW14='Official Results'!J21,'Official Results'!J20&lt;&gt;"",'Official Results'!J21&lt;&gt;""),'Instructions &amp; Rules'!$K$8,0)+IF(AND(AV14='Official Results'!J20,AW14='Official Results'!J21,AX14='Official Results'!J22,'Official Results'!N22="Yes"),'Instructions &amp; Rules'!$K$9,0)</f>
        <v>0</v>
      </c>
      <c r="AZ14" s="69">
        <f>IF(AND(AV14&lt;&gt;"",'Official Results'!J20&lt;&gt;"",AV14='Official Results'!J20),1,0)+IF(AND(AW14&lt;&gt;"",'Official Results'!J21&lt;&gt;"",AW14='Official Results'!J21),1,0)+IF(AND(AX14&lt;&gt;"",'Official Results'!J22&lt;&gt;"",'Official Results'!N22="Yes",AX14='Official Results'!J22),1,0)</f>
        <v>0</v>
      </c>
      <c r="BA14" s="101"/>
      <c r="BB14" s="102"/>
      <c r="BC14" s="103"/>
      <c r="BD14" s="68">
        <f>IF(AND(BA14&lt;&gt;"",'Official Results'!Q20&lt;&gt;""),IF(BA14='Official Results'!Q20,'Instructions &amp; Rules'!$K$4,IF(BA14='Official Results'!Q21,'Instructions &amp; Rules'!$K$6,0)),0)+IF(AND(BB14&lt;&gt;"",'Official Results'!Q21&lt;&gt;""),IF(BB14='Official Results'!Q21,'Instructions &amp; Rules'!$K$5,IF(BB14='Official Results'!Q20,'Instructions &amp; Rules'!$K$6,0)),0)+IF(AND(BC14&lt;&gt;"",'Official Results'!Q22&lt;&gt;"",'Official Results'!U22="Yes"),IF(BC14='Official Results'!Q22,'Instructions &amp; Rules'!$K$7,0),0)+IF(AND(BA14='Official Results'!Q20,BB14='Official Results'!Q21,'Official Results'!Q20&lt;&gt;"",'Official Results'!Q21&lt;&gt;""),'Instructions &amp; Rules'!$K$8,0)+IF(AND(BA14='Official Results'!Q20,BB14='Official Results'!Q21,BC14='Official Results'!Q22,'Official Results'!U22="Yes"),'Instructions &amp; Rules'!$K$9,0)</f>
        <v>0</v>
      </c>
      <c r="BE14" s="69">
        <f>IF(AND(BA14&lt;&gt;"",'Official Results'!Q20&lt;&gt;"",BA14='Official Results'!Q20),1,0)+IF(AND(BB14&lt;&gt;"",'Official Results'!Q21&lt;&gt;"",BB14='Official Results'!Q21),1,0)+IF(AND(BC14&lt;&gt;"",'Official Results'!Q22&lt;&gt;"",'Official Results'!U22="Yes",BC14='Official Results'!Q22),1,0)</f>
        <v>0</v>
      </c>
      <c r="BF14" s="101"/>
      <c r="BG14" s="102"/>
      <c r="BH14" s="103"/>
      <c r="BI14" s="68">
        <f>IF(AND(BF14&lt;&gt;"",'Official Results'!X20&lt;&gt;""),IF(BF14='Official Results'!X20,'Instructions &amp; Rules'!$K$4,IF(BF14='Official Results'!X21,'Instructions &amp; Rules'!$K$6,0)),0)+IF(AND(BG14&lt;&gt;"",'Official Results'!X21&lt;&gt;""),IF(BG14='Official Results'!X21,'Instructions &amp; Rules'!$K$5,IF(BG14='Official Results'!X20,'Instructions &amp; Rules'!$K$6,0)),0)+IF(AND(BH14&lt;&gt;"",'Official Results'!X22&lt;&gt;"",'Official Results'!AB22="Yes"),IF(BH14='Official Results'!X22,'Instructions &amp; Rules'!$K$7,0),0)+IF(AND(BF14='Official Results'!X20,BG14='Official Results'!X21,'Official Results'!X20&lt;&gt;"",'Official Results'!X21&lt;&gt;""),'Instructions &amp; Rules'!$K$8,0)+IF(AND(BF14='Official Results'!X20,BG14='Official Results'!X21,BH14='Official Results'!X22,'Official Results'!AB22="Yes"),'Instructions &amp; Rules'!$K$9,0)</f>
        <v>0</v>
      </c>
      <c r="BJ14" s="69">
        <f>IF(AND(BF14&lt;&gt;"",'Official Results'!X20&lt;&gt;"",BF14='Official Results'!X20),1,0)+IF(AND(BG14&lt;&gt;"",'Official Results'!X21&lt;&gt;"",BG14='Official Results'!X21),1,0)+IF(AND(BH14&lt;&gt;"",'Official Results'!X22&lt;&gt;"",'Official Results'!AB22="Yes",BH14='Official Results'!X22),1,0)</f>
        <v>0</v>
      </c>
      <c r="BK14" s="70">
        <f t="shared" si="0"/>
        <v>0</v>
      </c>
      <c r="BL14" s="71">
        <f t="shared" si="1"/>
        <v>0</v>
      </c>
      <c r="BM14" s="72">
        <f t="shared" si="2"/>
        <v>0</v>
      </c>
    </row>
    <row r="15" spans="1:65" ht="15" customHeight="1">
      <c r="A15" s="73" t="str">
        <f>IF(Players!B15="","",Players!B15)</f>
        <v>Wawa</v>
      </c>
      <c r="B15" s="86"/>
      <c r="C15" s="101"/>
      <c r="D15" s="102"/>
      <c r="E15" s="103"/>
      <c r="F15" s="68">
        <f>IF(AND(C15&lt;&gt;"",'Official Results'!C6&lt;&gt;""),IF(C15='Official Results'!C6,'Instructions &amp; Rules'!$K$4,IF(C15='Official Results'!C7,'Instructions &amp; Rules'!$K$6,0)),0)+IF(AND(D15&lt;&gt;"",'Official Results'!C7&lt;&gt;""),IF(D15='Official Results'!C7,'Instructions &amp; Rules'!$K$5,IF(D15='Official Results'!C6,'Instructions &amp; Rules'!$K$6,0)),0)+IF(AND(E15&lt;&gt;"",'Official Results'!C8&lt;&gt;"",'Official Results'!G8="Yes"),IF(E15='Official Results'!C8,'Instructions &amp; Rules'!$K$7,0),0)+IF(AND(C15='Official Results'!C6,D15='Official Results'!C7,'Official Results'!C6&lt;&gt;"",'Official Results'!C7&lt;&gt;""),'Instructions &amp; Rules'!$K$8,0)+IF(AND(C15='Official Results'!C6,D15='Official Results'!C7,E15='Official Results'!C8,'Official Results'!G8="Yes"),'Instructions &amp; Rules'!$K$9,0)</f>
        <v>0</v>
      </c>
      <c r="G15" s="69">
        <f>IF(AND(C15&lt;&gt;"",'Official Results'!C6&lt;&gt;"",C15='Official Results'!C6),1,0)+IF(AND(D15&lt;&gt;"",'Official Results'!C7&lt;&gt;"",D15='Official Results'!C7),1,0)+IF(AND(E15&lt;&gt;"",'Official Results'!C8&lt;&gt;"",'Official Results'!G8="Yes",E15='Official Results'!C8),1,0)</f>
        <v>0</v>
      </c>
      <c r="H15" s="101"/>
      <c r="I15" s="102"/>
      <c r="J15" s="103"/>
      <c r="K15" s="68">
        <f>IF(AND(H15&lt;&gt;"",'Official Results'!J6&lt;&gt;""),IF(H15='Official Results'!J6,'Instructions &amp; Rules'!$K$4,IF(H15='Official Results'!J7,'Instructions &amp; Rules'!$K$6,0)),0)+IF(AND(I15&lt;&gt;"",'Official Results'!J7&lt;&gt;""),IF(I15='Official Results'!J7,'Instructions &amp; Rules'!$K$5,IF(I15='Official Results'!J6,'Instructions &amp; Rules'!$K$6,0)),0)+IF(AND(J15&lt;&gt;"",'Official Results'!J8&lt;&gt;"",'Official Results'!N8="Yes"),IF(J15='Official Results'!J8,'Instructions &amp; Rules'!$K$7,0),0)+IF(AND(H15='Official Results'!J6,I15='Official Results'!J7,'Official Results'!J6&lt;&gt;"",'Official Results'!J7&lt;&gt;""),'Instructions &amp; Rules'!$K$8,0)+IF(AND(H15='Official Results'!J6,I15='Official Results'!J7,J15='Official Results'!J8,'Official Results'!N8="Yes"),'Instructions &amp; Rules'!$K$9,0)</f>
        <v>0</v>
      </c>
      <c r="L15" s="69">
        <f>IF(AND(H15&lt;&gt;"",'Official Results'!J6&lt;&gt;"",H15='Official Results'!J6),1,0)+IF(AND(I15&lt;&gt;"",'Official Results'!J7&lt;&gt;"",I15='Official Results'!J7),1,0)+IF(AND(J15&lt;&gt;"",'Official Results'!J8&lt;&gt;"",'Official Results'!N8="Yes",J15='Official Results'!J8),1,0)</f>
        <v>0</v>
      </c>
      <c r="M15" s="101"/>
      <c r="N15" s="102"/>
      <c r="O15" s="103"/>
      <c r="P15" s="68">
        <f>IF(AND(M15&lt;&gt;"",'Official Results'!Q6&lt;&gt;""),IF(M15='Official Results'!Q6,'Instructions &amp; Rules'!$K$4,IF(M15='Official Results'!Q7,'Instructions &amp; Rules'!$K$6,0)),0)+IF(AND(N15&lt;&gt;"",'Official Results'!Q7&lt;&gt;""),IF(N15='Official Results'!Q7,'Instructions &amp; Rules'!$K$5,IF(N15='Official Results'!Q6,'Instructions &amp; Rules'!$K$6,0)),0)+IF(AND(O15&lt;&gt;"",'Official Results'!Q8&lt;&gt;"",'Official Results'!U8="Yes"),IF(O15='Official Results'!Q8,'Instructions &amp; Rules'!$K$7,0),0)+IF(AND(M15='Official Results'!Q6,N15='Official Results'!Q7,'Official Results'!Q6&lt;&gt;"",'Official Results'!Q7&lt;&gt;""),'Instructions &amp; Rules'!$K$8,0)+IF(AND(M15='Official Results'!Q6,N15='Official Results'!Q7,O15='Official Results'!Q8,'Official Results'!U8="Yes"),'Instructions &amp; Rules'!$K$9,0)</f>
        <v>0</v>
      </c>
      <c r="Q15" s="69">
        <f>IF(AND(M15&lt;&gt;"",'Official Results'!Q6&lt;&gt;"",M15='Official Results'!Q6),1,0)+IF(AND(N15&lt;&gt;"",'Official Results'!Q7&lt;&gt;"",N15='Official Results'!Q7),1,0)+IF(AND(O15&lt;&gt;"",'Official Results'!Q8&lt;&gt;"",'Official Results'!U8="Yes",O15='Official Results'!Q8),1,0)</f>
        <v>0</v>
      </c>
      <c r="R15" s="101"/>
      <c r="S15" s="102"/>
      <c r="T15" s="103"/>
      <c r="U15" s="68">
        <f>IF(AND(R15&lt;&gt;"",'Official Results'!X6&lt;&gt;""),IF(R15='Official Results'!X6,'Instructions &amp; Rules'!$K$4,IF(R15='Official Results'!X7,'Instructions &amp; Rules'!$K$6,0)),0)+IF(AND(S15&lt;&gt;"",'Official Results'!X7&lt;&gt;""),IF(S15='Official Results'!X7,'Instructions &amp; Rules'!$K$5,IF(S15='Official Results'!X6,'Instructions &amp; Rules'!$K$6,0)),0)+IF(AND(T15&lt;&gt;"",'Official Results'!X8&lt;&gt;"",'Official Results'!AB8="Yes"),IF(T15='Official Results'!X8,'Instructions &amp; Rules'!$K$7,0),0)+IF(AND(R15='Official Results'!X6,S15='Official Results'!X7,'Official Results'!X6&lt;&gt;"",'Official Results'!X7&lt;&gt;""),'Instructions &amp; Rules'!$K$8,0)+IF(AND(R15='Official Results'!X6,S15='Official Results'!X7,T15='Official Results'!X8,'Official Results'!AB8="Yes"),'Instructions &amp; Rules'!$K$9,0)</f>
        <v>0</v>
      </c>
      <c r="V15" s="69">
        <f>IF(AND(R15&lt;&gt;"",'Official Results'!X6&lt;&gt;"",R15='Official Results'!X6),1,0)+IF(AND(S15&lt;&gt;"",'Official Results'!X7&lt;&gt;"",S15='Official Results'!X7),1,0)+IF(AND(T15&lt;&gt;"",'Official Results'!X8&lt;&gt;"",'Official Results'!AB8="Yes",T15='Official Results'!X8),1,0)</f>
        <v>0</v>
      </c>
      <c r="W15" s="101"/>
      <c r="X15" s="102"/>
      <c r="Y15" s="103"/>
      <c r="Z15" s="68">
        <f>IF(AND(W15&lt;&gt;"",'Official Results'!C13&lt;&gt;""),IF(W15='Official Results'!C13,'Instructions &amp; Rules'!$K$4,IF(W15='Official Results'!C14,'Instructions &amp; Rules'!$K$6,0)),0)+IF(AND(X15&lt;&gt;"",'Official Results'!C14&lt;&gt;""),IF(X15='Official Results'!C14,'Instructions &amp; Rules'!$K$5,IF(X15='Official Results'!C13,'Instructions &amp; Rules'!$K$6,0)),0)+IF(AND(Y15&lt;&gt;"",'Official Results'!C15&lt;&gt;"",'Official Results'!G15="Yes"),IF(Y15='Official Results'!C15,'Instructions &amp; Rules'!$K$7,0),0)+IF(AND(W15='Official Results'!C13,X15='Official Results'!C14,'Official Results'!C13&lt;&gt;"",'Official Results'!C14&lt;&gt;""),'Instructions &amp; Rules'!$K$8,0)+IF(AND(W15='Official Results'!C13,X15='Official Results'!C14,Y15='Official Results'!C15,'Official Results'!G15="Yes"),'Instructions &amp; Rules'!$K$9,0)</f>
        <v>0</v>
      </c>
      <c r="AA15" s="69">
        <f>IF(AND(W15&lt;&gt;"",'Official Results'!C13&lt;&gt;"",W15='Official Results'!C13),1,0)+IF(AND(X15&lt;&gt;"",'Official Results'!C14&lt;&gt;"",X15='Official Results'!C14),1,0)+IF(AND(Y15&lt;&gt;"",'Official Results'!C15&lt;&gt;"",'Official Results'!G15="Yes",Y15='Official Results'!C15),1,0)</f>
        <v>0</v>
      </c>
      <c r="AB15" s="101"/>
      <c r="AC15" s="102"/>
      <c r="AD15" s="103"/>
      <c r="AE15" s="68">
        <f>IF(AND(AB15&lt;&gt;"",'Official Results'!J13&lt;&gt;""),IF(AB15='Official Results'!J13,'Instructions &amp; Rules'!$K$4,IF(AB15='Official Results'!J14,'Instructions &amp; Rules'!$K$6,0)),0)+IF(AND(AC15&lt;&gt;"",'Official Results'!J14&lt;&gt;""),IF(AC15='Official Results'!J14,'Instructions &amp; Rules'!$K$5,IF(AC15='Official Results'!J13,'Instructions &amp; Rules'!$K$6,0)),0)+IF(AND(AD15&lt;&gt;"",'Official Results'!J15&lt;&gt;"",'Official Results'!N15="Yes"),IF(AD15='Official Results'!J15,'Instructions &amp; Rules'!$K$7,0),0)+IF(AND(AB15='Official Results'!J13,AC15='Official Results'!J14,'Official Results'!J13&lt;&gt;"",'Official Results'!J14&lt;&gt;""),'Instructions &amp; Rules'!$K$8,0)+IF(AND(AB15='Official Results'!J13,AC15='Official Results'!J14,AD15='Official Results'!J15,'Official Results'!N15="Yes"),'Instructions &amp; Rules'!$K$9,0)</f>
        <v>0</v>
      </c>
      <c r="AF15" s="69">
        <f>IF(AND(AB15&lt;&gt;"",'Official Results'!J13&lt;&gt;"",AB15='Official Results'!J13),1,0)+IF(AND(AC15&lt;&gt;"",'Official Results'!J14&lt;&gt;"",AC15='Official Results'!J14),1,0)+IF(AND(AD15&lt;&gt;"",'Official Results'!J15&lt;&gt;"",'Official Results'!N15="Yes",AD15='Official Results'!J15),1,0)</f>
        <v>0</v>
      </c>
      <c r="AG15" s="101"/>
      <c r="AH15" s="102"/>
      <c r="AI15" s="103"/>
      <c r="AJ15" s="68">
        <f>IF(AND(AG15&lt;&gt;"",'Official Results'!Q13&lt;&gt;""),IF(AG15='Official Results'!Q13,'Instructions &amp; Rules'!$K$4,IF(AG15='Official Results'!Q14,'Instructions &amp; Rules'!$K$6,0)),0)+IF(AND(AH15&lt;&gt;"",'Official Results'!Q14&lt;&gt;""),IF(AH15='Official Results'!Q14,'Instructions &amp; Rules'!$K$5,IF(AH15='Official Results'!Q13,'Instructions &amp; Rules'!$K$6,0)),0)+IF(AND(AI15&lt;&gt;"",'Official Results'!Q15&lt;&gt;"",'Official Results'!U15="Yes"),IF(AI15='Official Results'!Q15,'Instructions &amp; Rules'!$K$7,0),0)+IF(AND(AG15='Official Results'!Q13,AH15='Official Results'!Q14,'Official Results'!Q13&lt;&gt;"",'Official Results'!Q14&lt;&gt;""),'Instructions &amp; Rules'!$K$8,0)+IF(AND(AG15='Official Results'!Q13,AH15='Official Results'!Q14,AI15='Official Results'!Q15,'Official Results'!U15="Yes"),'Instructions &amp; Rules'!$K$9,0)</f>
        <v>0</v>
      </c>
      <c r="AK15" s="69">
        <f>IF(AND(AG15&lt;&gt;"",'Official Results'!Q13&lt;&gt;"",AG15='Official Results'!Q13),1,0)+IF(AND(AH15&lt;&gt;"",'Official Results'!Q14&lt;&gt;"",AH15='Official Results'!Q14),1,0)+IF(AND(AI15&lt;&gt;"",'Official Results'!Q15&lt;&gt;"",'Official Results'!U15="Yes",AI15='Official Results'!Q15),1,0)</f>
        <v>0</v>
      </c>
      <c r="AL15" s="101"/>
      <c r="AM15" s="102"/>
      <c r="AN15" s="103"/>
      <c r="AO15" s="68">
        <f>IF(AND(AL15&lt;&gt;"",'Official Results'!X13&lt;&gt;""),IF(AL15='Official Results'!X13,'Instructions &amp; Rules'!$K$4,IF(AL15='Official Results'!X14,'Instructions &amp; Rules'!$K$6,0)),0)+IF(AND(AM15&lt;&gt;"",'Official Results'!X14&lt;&gt;""),IF(AM15='Official Results'!X14,'Instructions &amp; Rules'!$K$5,IF(AM15='Official Results'!X13,'Instructions &amp; Rules'!$K$6,0)),0)+IF(AND(AN15&lt;&gt;"",'Official Results'!X15&lt;&gt;"",'Official Results'!AB15="Yes"),IF(AN15='Official Results'!X15,'Instructions &amp; Rules'!$K$7,0),0)+IF(AND(AL15='Official Results'!X13,AM15='Official Results'!X14,'Official Results'!X13&lt;&gt;"",'Official Results'!X14&lt;&gt;""),'Instructions &amp; Rules'!$K$8,0)+IF(AND(AL15='Official Results'!X13,AM15='Official Results'!X14,AN15='Official Results'!X15,'Official Results'!AB15="Yes"),'Instructions &amp; Rules'!$K$9,0)</f>
        <v>0</v>
      </c>
      <c r="AP15" s="69">
        <f>IF(AND(AL15&lt;&gt;"",'Official Results'!X13&lt;&gt;"",AL15='Official Results'!X13),1,0)+IF(AND(AM15&lt;&gt;"",'Official Results'!X14&lt;&gt;"",AM15='Official Results'!X14),1,0)+IF(AND(AN15&lt;&gt;"",'Official Results'!X15&lt;&gt;"",'Official Results'!AB15="Yes",AN15='Official Results'!X15),1,0)</f>
        <v>0</v>
      </c>
      <c r="AQ15" s="101"/>
      <c r="AR15" s="102"/>
      <c r="AS15" s="103"/>
      <c r="AT15" s="68">
        <f>IF(AND(AQ15&lt;&gt;"",'Official Results'!C20&lt;&gt;""),IF(AQ15='Official Results'!C20,'Instructions &amp; Rules'!$K$4,IF(AQ15='Official Results'!C21,'Instructions &amp; Rules'!$K$6,0)),0)+IF(AND(AR15&lt;&gt;"",'Official Results'!C21&lt;&gt;""),IF(AR15='Official Results'!C21,'Instructions &amp; Rules'!$K$5,IF(AR15='Official Results'!C20,'Instructions &amp; Rules'!$K$6,0)),0)+IF(AND(AS15&lt;&gt;"",'Official Results'!C22&lt;&gt;"",'Official Results'!G22="Yes"),IF(AS15='Official Results'!C22,'Instructions &amp; Rules'!$K$7,0),0)+IF(AND(AQ15='Official Results'!C20,AR15='Official Results'!C21,'Official Results'!C20&lt;&gt;"",'Official Results'!C21&lt;&gt;""),'Instructions &amp; Rules'!$K$8,0)+IF(AND(AQ15='Official Results'!C20,AR15='Official Results'!C21,AS15='Official Results'!C22,'Official Results'!G22="Yes"),'Instructions &amp; Rules'!$K$9,0)</f>
        <v>0</v>
      </c>
      <c r="AU15" s="69">
        <f>IF(AND(AQ15&lt;&gt;"",'Official Results'!C20&lt;&gt;"",AQ15='Official Results'!C20),1,0)+IF(AND(AR15&lt;&gt;"",'Official Results'!C21&lt;&gt;"",AR15='Official Results'!C21),1,0)+IF(AND(AS15&lt;&gt;"",'Official Results'!C22&lt;&gt;"",'Official Results'!G22="Yes",AS15='Official Results'!C22),1,0)</f>
        <v>0</v>
      </c>
      <c r="AV15" s="101"/>
      <c r="AW15" s="102"/>
      <c r="AX15" s="103"/>
      <c r="AY15" s="68">
        <f>IF(AND(AV15&lt;&gt;"",'Official Results'!J20&lt;&gt;""),IF(AV15='Official Results'!J20,'Instructions &amp; Rules'!$K$4,IF(AV15='Official Results'!J21,'Instructions &amp; Rules'!$K$6,0)),0)+IF(AND(AW15&lt;&gt;"",'Official Results'!J21&lt;&gt;""),IF(AW15='Official Results'!J21,'Instructions &amp; Rules'!$K$5,IF(AW15='Official Results'!J20,'Instructions &amp; Rules'!$K$6,0)),0)+IF(AND(AX15&lt;&gt;"",'Official Results'!J22&lt;&gt;"",'Official Results'!N22="Yes"),IF(AX15='Official Results'!J22,'Instructions &amp; Rules'!$K$7,0),0)+IF(AND(AV15='Official Results'!J20,AW15='Official Results'!J21,'Official Results'!J20&lt;&gt;"",'Official Results'!J21&lt;&gt;""),'Instructions &amp; Rules'!$K$8,0)+IF(AND(AV15='Official Results'!J20,AW15='Official Results'!J21,AX15='Official Results'!J22,'Official Results'!N22="Yes"),'Instructions &amp; Rules'!$K$9,0)</f>
        <v>0</v>
      </c>
      <c r="AZ15" s="69">
        <f>IF(AND(AV15&lt;&gt;"",'Official Results'!J20&lt;&gt;"",AV15='Official Results'!J20),1,0)+IF(AND(AW15&lt;&gt;"",'Official Results'!J21&lt;&gt;"",AW15='Official Results'!J21),1,0)+IF(AND(AX15&lt;&gt;"",'Official Results'!J22&lt;&gt;"",'Official Results'!N22="Yes",AX15='Official Results'!J22),1,0)</f>
        <v>0</v>
      </c>
      <c r="BA15" s="101"/>
      <c r="BB15" s="102"/>
      <c r="BC15" s="103"/>
      <c r="BD15" s="68">
        <f>IF(AND(BA15&lt;&gt;"",'Official Results'!Q20&lt;&gt;""),IF(BA15='Official Results'!Q20,'Instructions &amp; Rules'!$K$4,IF(BA15='Official Results'!Q21,'Instructions &amp; Rules'!$K$6,0)),0)+IF(AND(BB15&lt;&gt;"",'Official Results'!Q21&lt;&gt;""),IF(BB15='Official Results'!Q21,'Instructions &amp; Rules'!$K$5,IF(BB15='Official Results'!Q20,'Instructions &amp; Rules'!$K$6,0)),0)+IF(AND(BC15&lt;&gt;"",'Official Results'!Q22&lt;&gt;"",'Official Results'!U22="Yes"),IF(BC15='Official Results'!Q22,'Instructions &amp; Rules'!$K$7,0),0)+IF(AND(BA15='Official Results'!Q20,BB15='Official Results'!Q21,'Official Results'!Q20&lt;&gt;"",'Official Results'!Q21&lt;&gt;""),'Instructions &amp; Rules'!$K$8,0)+IF(AND(BA15='Official Results'!Q20,BB15='Official Results'!Q21,BC15='Official Results'!Q22,'Official Results'!U22="Yes"),'Instructions &amp; Rules'!$K$9,0)</f>
        <v>0</v>
      </c>
      <c r="BE15" s="69">
        <f>IF(AND(BA15&lt;&gt;"",'Official Results'!Q20&lt;&gt;"",BA15='Official Results'!Q20),1,0)+IF(AND(BB15&lt;&gt;"",'Official Results'!Q21&lt;&gt;"",BB15='Official Results'!Q21),1,0)+IF(AND(BC15&lt;&gt;"",'Official Results'!Q22&lt;&gt;"",'Official Results'!U22="Yes",BC15='Official Results'!Q22),1,0)</f>
        <v>0</v>
      </c>
      <c r="BF15" s="101"/>
      <c r="BG15" s="102"/>
      <c r="BH15" s="103"/>
      <c r="BI15" s="68">
        <f>IF(AND(BF15&lt;&gt;"",'Official Results'!X20&lt;&gt;""),IF(BF15='Official Results'!X20,'Instructions &amp; Rules'!$K$4,IF(BF15='Official Results'!X21,'Instructions &amp; Rules'!$K$6,0)),0)+IF(AND(BG15&lt;&gt;"",'Official Results'!X21&lt;&gt;""),IF(BG15='Official Results'!X21,'Instructions &amp; Rules'!$K$5,IF(BG15='Official Results'!X20,'Instructions &amp; Rules'!$K$6,0)),0)+IF(AND(BH15&lt;&gt;"",'Official Results'!X22&lt;&gt;"",'Official Results'!AB22="Yes"),IF(BH15='Official Results'!X22,'Instructions &amp; Rules'!$K$7,0),0)+IF(AND(BF15='Official Results'!X20,BG15='Official Results'!X21,'Official Results'!X20&lt;&gt;"",'Official Results'!X21&lt;&gt;""),'Instructions &amp; Rules'!$K$8,0)+IF(AND(BF15='Official Results'!X20,BG15='Official Results'!X21,BH15='Official Results'!X22,'Official Results'!AB22="Yes"),'Instructions &amp; Rules'!$K$9,0)</f>
        <v>0</v>
      </c>
      <c r="BJ15" s="69">
        <f>IF(AND(BF15&lt;&gt;"",'Official Results'!X20&lt;&gt;"",BF15='Official Results'!X20),1,0)+IF(AND(BG15&lt;&gt;"",'Official Results'!X21&lt;&gt;"",BG15='Official Results'!X21),1,0)+IF(AND(BH15&lt;&gt;"",'Official Results'!X22&lt;&gt;"",'Official Results'!AB22="Yes",BH15='Official Results'!X22),1,0)</f>
        <v>0</v>
      </c>
      <c r="BK15" s="70">
        <f t="shared" si="0"/>
        <v>0</v>
      </c>
      <c r="BL15" s="71">
        <f t="shared" si="1"/>
        <v>0</v>
      </c>
      <c r="BM15" s="72">
        <f t="shared" si="2"/>
        <v>0</v>
      </c>
    </row>
    <row r="16" spans="1:65" ht="15" customHeight="1">
      <c r="A16" s="73" t="str">
        <f>IF(Players!B16="","",Players!B16)</f>
        <v>Player 11</v>
      </c>
      <c r="B16" s="86"/>
      <c r="C16" s="101"/>
      <c r="D16" s="102"/>
      <c r="E16" s="103"/>
      <c r="F16" s="68">
        <f>IF(AND(C16&lt;&gt;"",'Official Results'!C6&lt;&gt;""),IF(C16='Official Results'!C6,'Instructions &amp; Rules'!$K$4,IF(C16='Official Results'!C7,'Instructions &amp; Rules'!$K$6,0)),0)+IF(AND(D16&lt;&gt;"",'Official Results'!C7&lt;&gt;""),IF(D16='Official Results'!C7,'Instructions &amp; Rules'!$K$5,IF(D16='Official Results'!C6,'Instructions &amp; Rules'!$K$6,0)),0)+IF(AND(E16&lt;&gt;"",'Official Results'!C8&lt;&gt;"",'Official Results'!G8="Yes"),IF(E16='Official Results'!C8,'Instructions &amp; Rules'!$K$7,0),0)+IF(AND(C16='Official Results'!C6,D16='Official Results'!C7,'Official Results'!C6&lt;&gt;"",'Official Results'!C7&lt;&gt;""),'Instructions &amp; Rules'!$K$8,0)+IF(AND(C16='Official Results'!C6,D16='Official Results'!C7,E16='Official Results'!C8,'Official Results'!G8="Yes"),'Instructions &amp; Rules'!$K$9,0)</f>
        <v>0</v>
      </c>
      <c r="G16" s="69">
        <f>IF(AND(C16&lt;&gt;"",'Official Results'!C6&lt;&gt;"",C16='Official Results'!C6),1,0)+IF(AND(D16&lt;&gt;"",'Official Results'!C7&lt;&gt;"",D16='Official Results'!C7),1,0)+IF(AND(E16&lt;&gt;"",'Official Results'!C8&lt;&gt;"",'Official Results'!G8="Yes",E16='Official Results'!C8),1,0)</f>
        <v>0</v>
      </c>
      <c r="H16" s="101"/>
      <c r="I16" s="102"/>
      <c r="J16" s="103"/>
      <c r="K16" s="68">
        <f>IF(AND(H16&lt;&gt;"",'Official Results'!J6&lt;&gt;""),IF(H16='Official Results'!J6,'Instructions &amp; Rules'!$K$4,IF(H16='Official Results'!J7,'Instructions &amp; Rules'!$K$6,0)),0)+IF(AND(I16&lt;&gt;"",'Official Results'!J7&lt;&gt;""),IF(I16='Official Results'!J7,'Instructions &amp; Rules'!$K$5,IF(I16='Official Results'!J6,'Instructions &amp; Rules'!$K$6,0)),0)+IF(AND(J16&lt;&gt;"",'Official Results'!J8&lt;&gt;"",'Official Results'!N8="Yes"),IF(J16='Official Results'!J8,'Instructions &amp; Rules'!$K$7,0),0)+IF(AND(H16='Official Results'!J6,I16='Official Results'!J7,'Official Results'!J6&lt;&gt;"",'Official Results'!J7&lt;&gt;""),'Instructions &amp; Rules'!$K$8,0)+IF(AND(H16='Official Results'!J6,I16='Official Results'!J7,J16='Official Results'!J8,'Official Results'!N8="Yes"),'Instructions &amp; Rules'!$K$9,0)</f>
        <v>0</v>
      </c>
      <c r="L16" s="69">
        <f>IF(AND(H16&lt;&gt;"",'Official Results'!J6&lt;&gt;"",H16='Official Results'!J6),1,0)+IF(AND(I16&lt;&gt;"",'Official Results'!J7&lt;&gt;"",I16='Official Results'!J7),1,0)+IF(AND(J16&lt;&gt;"",'Official Results'!J8&lt;&gt;"",'Official Results'!N8="Yes",J16='Official Results'!J8),1,0)</f>
        <v>0</v>
      </c>
      <c r="M16" s="101"/>
      <c r="N16" s="102"/>
      <c r="O16" s="103"/>
      <c r="P16" s="68">
        <f>IF(AND(M16&lt;&gt;"",'Official Results'!Q6&lt;&gt;""),IF(M16='Official Results'!Q6,'Instructions &amp; Rules'!$K$4,IF(M16='Official Results'!Q7,'Instructions &amp; Rules'!$K$6,0)),0)+IF(AND(N16&lt;&gt;"",'Official Results'!Q7&lt;&gt;""),IF(N16='Official Results'!Q7,'Instructions &amp; Rules'!$K$5,IF(N16='Official Results'!Q6,'Instructions &amp; Rules'!$K$6,0)),0)+IF(AND(O16&lt;&gt;"",'Official Results'!Q8&lt;&gt;"",'Official Results'!U8="Yes"),IF(O16='Official Results'!Q8,'Instructions &amp; Rules'!$K$7,0),0)+IF(AND(M16='Official Results'!Q6,N16='Official Results'!Q7,'Official Results'!Q6&lt;&gt;"",'Official Results'!Q7&lt;&gt;""),'Instructions &amp; Rules'!$K$8,0)+IF(AND(M16='Official Results'!Q6,N16='Official Results'!Q7,O16='Official Results'!Q8,'Official Results'!U8="Yes"),'Instructions &amp; Rules'!$K$9,0)</f>
        <v>0</v>
      </c>
      <c r="Q16" s="69">
        <f>IF(AND(M16&lt;&gt;"",'Official Results'!Q6&lt;&gt;"",M16='Official Results'!Q6),1,0)+IF(AND(N16&lt;&gt;"",'Official Results'!Q7&lt;&gt;"",N16='Official Results'!Q7),1,0)+IF(AND(O16&lt;&gt;"",'Official Results'!Q8&lt;&gt;"",'Official Results'!U8="Yes",O16='Official Results'!Q8),1,0)</f>
        <v>0</v>
      </c>
      <c r="R16" s="101"/>
      <c r="S16" s="102"/>
      <c r="T16" s="103"/>
      <c r="U16" s="68">
        <f>IF(AND(R16&lt;&gt;"",'Official Results'!X6&lt;&gt;""),IF(R16='Official Results'!X6,'Instructions &amp; Rules'!$K$4,IF(R16='Official Results'!X7,'Instructions &amp; Rules'!$K$6,0)),0)+IF(AND(S16&lt;&gt;"",'Official Results'!X7&lt;&gt;""),IF(S16='Official Results'!X7,'Instructions &amp; Rules'!$K$5,IF(S16='Official Results'!X6,'Instructions &amp; Rules'!$K$6,0)),0)+IF(AND(T16&lt;&gt;"",'Official Results'!X8&lt;&gt;"",'Official Results'!AB8="Yes"),IF(T16='Official Results'!X8,'Instructions &amp; Rules'!$K$7,0),0)+IF(AND(R16='Official Results'!X6,S16='Official Results'!X7,'Official Results'!X6&lt;&gt;"",'Official Results'!X7&lt;&gt;""),'Instructions &amp; Rules'!$K$8,0)+IF(AND(R16='Official Results'!X6,S16='Official Results'!X7,T16='Official Results'!X8,'Official Results'!AB8="Yes"),'Instructions &amp; Rules'!$K$9,0)</f>
        <v>0</v>
      </c>
      <c r="V16" s="69">
        <f>IF(AND(R16&lt;&gt;"",'Official Results'!X6&lt;&gt;"",R16='Official Results'!X6),1,0)+IF(AND(S16&lt;&gt;"",'Official Results'!X7&lt;&gt;"",S16='Official Results'!X7),1,0)+IF(AND(T16&lt;&gt;"",'Official Results'!X8&lt;&gt;"",'Official Results'!AB8="Yes",T16='Official Results'!X8),1,0)</f>
        <v>0</v>
      </c>
      <c r="W16" s="101"/>
      <c r="X16" s="102"/>
      <c r="Y16" s="103"/>
      <c r="Z16" s="68">
        <f>IF(AND(W16&lt;&gt;"",'Official Results'!C13&lt;&gt;""),IF(W16='Official Results'!C13,'Instructions &amp; Rules'!$K$4,IF(W16='Official Results'!C14,'Instructions &amp; Rules'!$K$6,0)),0)+IF(AND(X16&lt;&gt;"",'Official Results'!C14&lt;&gt;""),IF(X16='Official Results'!C14,'Instructions &amp; Rules'!$K$5,IF(X16='Official Results'!C13,'Instructions &amp; Rules'!$K$6,0)),0)+IF(AND(Y16&lt;&gt;"",'Official Results'!C15&lt;&gt;"",'Official Results'!G15="Yes"),IF(Y16='Official Results'!C15,'Instructions &amp; Rules'!$K$7,0),0)+IF(AND(W16='Official Results'!C13,X16='Official Results'!C14,'Official Results'!C13&lt;&gt;"",'Official Results'!C14&lt;&gt;""),'Instructions &amp; Rules'!$K$8,0)+IF(AND(W16='Official Results'!C13,X16='Official Results'!C14,Y16='Official Results'!C15,'Official Results'!G15="Yes"),'Instructions &amp; Rules'!$K$9,0)</f>
        <v>0</v>
      </c>
      <c r="AA16" s="69">
        <f>IF(AND(W16&lt;&gt;"",'Official Results'!C13&lt;&gt;"",W16='Official Results'!C13),1,0)+IF(AND(X16&lt;&gt;"",'Official Results'!C14&lt;&gt;"",X16='Official Results'!C14),1,0)+IF(AND(Y16&lt;&gt;"",'Official Results'!C15&lt;&gt;"",'Official Results'!G15="Yes",Y16='Official Results'!C15),1,0)</f>
        <v>0</v>
      </c>
      <c r="AB16" s="101"/>
      <c r="AC16" s="102"/>
      <c r="AD16" s="103"/>
      <c r="AE16" s="68">
        <f>IF(AND(AB16&lt;&gt;"",'Official Results'!J13&lt;&gt;""),IF(AB16='Official Results'!J13,'Instructions &amp; Rules'!$K$4,IF(AB16='Official Results'!J14,'Instructions &amp; Rules'!$K$6,0)),0)+IF(AND(AC16&lt;&gt;"",'Official Results'!J14&lt;&gt;""),IF(AC16='Official Results'!J14,'Instructions &amp; Rules'!$K$5,IF(AC16='Official Results'!J13,'Instructions &amp; Rules'!$K$6,0)),0)+IF(AND(AD16&lt;&gt;"",'Official Results'!J15&lt;&gt;"",'Official Results'!N15="Yes"),IF(AD16='Official Results'!J15,'Instructions &amp; Rules'!$K$7,0),0)+IF(AND(AB16='Official Results'!J13,AC16='Official Results'!J14,'Official Results'!J13&lt;&gt;"",'Official Results'!J14&lt;&gt;""),'Instructions &amp; Rules'!$K$8,0)+IF(AND(AB16='Official Results'!J13,AC16='Official Results'!J14,AD16='Official Results'!J15,'Official Results'!N15="Yes"),'Instructions &amp; Rules'!$K$9,0)</f>
        <v>0</v>
      </c>
      <c r="AF16" s="69">
        <f>IF(AND(AB16&lt;&gt;"",'Official Results'!J13&lt;&gt;"",AB16='Official Results'!J13),1,0)+IF(AND(AC16&lt;&gt;"",'Official Results'!J14&lt;&gt;"",AC16='Official Results'!J14),1,0)+IF(AND(AD16&lt;&gt;"",'Official Results'!J15&lt;&gt;"",'Official Results'!N15="Yes",AD16='Official Results'!J15),1,0)</f>
        <v>0</v>
      </c>
      <c r="AG16" s="101"/>
      <c r="AH16" s="102"/>
      <c r="AI16" s="103"/>
      <c r="AJ16" s="68">
        <f>IF(AND(AG16&lt;&gt;"",'Official Results'!Q13&lt;&gt;""),IF(AG16='Official Results'!Q13,'Instructions &amp; Rules'!$K$4,IF(AG16='Official Results'!Q14,'Instructions &amp; Rules'!$K$6,0)),0)+IF(AND(AH16&lt;&gt;"",'Official Results'!Q14&lt;&gt;""),IF(AH16='Official Results'!Q14,'Instructions &amp; Rules'!$K$5,IF(AH16='Official Results'!Q13,'Instructions &amp; Rules'!$K$6,0)),0)+IF(AND(AI16&lt;&gt;"",'Official Results'!Q15&lt;&gt;"",'Official Results'!U15="Yes"),IF(AI16='Official Results'!Q15,'Instructions &amp; Rules'!$K$7,0),0)+IF(AND(AG16='Official Results'!Q13,AH16='Official Results'!Q14,'Official Results'!Q13&lt;&gt;"",'Official Results'!Q14&lt;&gt;""),'Instructions &amp; Rules'!$K$8,0)+IF(AND(AG16='Official Results'!Q13,AH16='Official Results'!Q14,AI16='Official Results'!Q15,'Official Results'!U15="Yes"),'Instructions &amp; Rules'!$K$9,0)</f>
        <v>0</v>
      </c>
      <c r="AK16" s="69">
        <f>IF(AND(AG16&lt;&gt;"",'Official Results'!Q13&lt;&gt;"",AG16='Official Results'!Q13),1,0)+IF(AND(AH16&lt;&gt;"",'Official Results'!Q14&lt;&gt;"",AH16='Official Results'!Q14),1,0)+IF(AND(AI16&lt;&gt;"",'Official Results'!Q15&lt;&gt;"",'Official Results'!U15="Yes",AI16='Official Results'!Q15),1,0)</f>
        <v>0</v>
      </c>
      <c r="AL16" s="101"/>
      <c r="AM16" s="102"/>
      <c r="AN16" s="103"/>
      <c r="AO16" s="68">
        <f>IF(AND(AL16&lt;&gt;"",'Official Results'!X13&lt;&gt;""),IF(AL16='Official Results'!X13,'Instructions &amp; Rules'!$K$4,IF(AL16='Official Results'!X14,'Instructions &amp; Rules'!$K$6,0)),0)+IF(AND(AM16&lt;&gt;"",'Official Results'!X14&lt;&gt;""),IF(AM16='Official Results'!X14,'Instructions &amp; Rules'!$K$5,IF(AM16='Official Results'!X13,'Instructions &amp; Rules'!$K$6,0)),0)+IF(AND(AN16&lt;&gt;"",'Official Results'!X15&lt;&gt;"",'Official Results'!AB15="Yes"),IF(AN16='Official Results'!X15,'Instructions &amp; Rules'!$K$7,0),0)+IF(AND(AL16='Official Results'!X13,AM16='Official Results'!X14,'Official Results'!X13&lt;&gt;"",'Official Results'!X14&lt;&gt;""),'Instructions &amp; Rules'!$K$8,0)+IF(AND(AL16='Official Results'!X13,AM16='Official Results'!X14,AN16='Official Results'!X15,'Official Results'!AB15="Yes"),'Instructions &amp; Rules'!$K$9,0)</f>
        <v>0</v>
      </c>
      <c r="AP16" s="69">
        <f>IF(AND(AL16&lt;&gt;"",'Official Results'!X13&lt;&gt;"",AL16='Official Results'!X13),1,0)+IF(AND(AM16&lt;&gt;"",'Official Results'!X14&lt;&gt;"",AM16='Official Results'!X14),1,0)+IF(AND(AN16&lt;&gt;"",'Official Results'!X15&lt;&gt;"",'Official Results'!AB15="Yes",AN16='Official Results'!X15),1,0)</f>
        <v>0</v>
      </c>
      <c r="AQ16" s="101"/>
      <c r="AR16" s="102"/>
      <c r="AS16" s="103"/>
      <c r="AT16" s="68">
        <f>IF(AND(AQ16&lt;&gt;"",'Official Results'!C20&lt;&gt;""),IF(AQ16='Official Results'!C20,'Instructions &amp; Rules'!$K$4,IF(AQ16='Official Results'!C21,'Instructions &amp; Rules'!$K$6,0)),0)+IF(AND(AR16&lt;&gt;"",'Official Results'!C21&lt;&gt;""),IF(AR16='Official Results'!C21,'Instructions &amp; Rules'!$K$5,IF(AR16='Official Results'!C20,'Instructions &amp; Rules'!$K$6,0)),0)+IF(AND(AS16&lt;&gt;"",'Official Results'!C22&lt;&gt;"",'Official Results'!G22="Yes"),IF(AS16='Official Results'!C22,'Instructions &amp; Rules'!$K$7,0),0)+IF(AND(AQ16='Official Results'!C20,AR16='Official Results'!C21,'Official Results'!C20&lt;&gt;"",'Official Results'!C21&lt;&gt;""),'Instructions &amp; Rules'!$K$8,0)+IF(AND(AQ16='Official Results'!C20,AR16='Official Results'!C21,AS16='Official Results'!C22,'Official Results'!G22="Yes"),'Instructions &amp; Rules'!$K$9,0)</f>
        <v>0</v>
      </c>
      <c r="AU16" s="69">
        <f>IF(AND(AQ16&lt;&gt;"",'Official Results'!C20&lt;&gt;"",AQ16='Official Results'!C20),1,0)+IF(AND(AR16&lt;&gt;"",'Official Results'!C21&lt;&gt;"",AR16='Official Results'!C21),1,0)+IF(AND(AS16&lt;&gt;"",'Official Results'!C22&lt;&gt;"",'Official Results'!G22="Yes",AS16='Official Results'!C22),1,0)</f>
        <v>0</v>
      </c>
      <c r="AV16" s="101"/>
      <c r="AW16" s="102"/>
      <c r="AX16" s="103"/>
      <c r="AY16" s="68">
        <f>IF(AND(AV16&lt;&gt;"",'Official Results'!J20&lt;&gt;""),IF(AV16='Official Results'!J20,'Instructions &amp; Rules'!$K$4,IF(AV16='Official Results'!J21,'Instructions &amp; Rules'!$K$6,0)),0)+IF(AND(AW16&lt;&gt;"",'Official Results'!J21&lt;&gt;""),IF(AW16='Official Results'!J21,'Instructions &amp; Rules'!$K$5,IF(AW16='Official Results'!J20,'Instructions &amp; Rules'!$K$6,0)),0)+IF(AND(AX16&lt;&gt;"",'Official Results'!J22&lt;&gt;"",'Official Results'!N22="Yes"),IF(AX16='Official Results'!J22,'Instructions &amp; Rules'!$K$7,0),0)+IF(AND(AV16='Official Results'!J20,AW16='Official Results'!J21,'Official Results'!J20&lt;&gt;"",'Official Results'!J21&lt;&gt;""),'Instructions &amp; Rules'!$K$8,0)+IF(AND(AV16='Official Results'!J20,AW16='Official Results'!J21,AX16='Official Results'!J22,'Official Results'!N22="Yes"),'Instructions &amp; Rules'!$K$9,0)</f>
        <v>0</v>
      </c>
      <c r="AZ16" s="69">
        <f>IF(AND(AV16&lt;&gt;"",'Official Results'!J20&lt;&gt;"",AV16='Official Results'!J20),1,0)+IF(AND(AW16&lt;&gt;"",'Official Results'!J21&lt;&gt;"",AW16='Official Results'!J21),1,0)+IF(AND(AX16&lt;&gt;"",'Official Results'!J22&lt;&gt;"",'Official Results'!N22="Yes",AX16='Official Results'!J22),1,0)</f>
        <v>0</v>
      </c>
      <c r="BA16" s="101"/>
      <c r="BB16" s="102"/>
      <c r="BC16" s="103"/>
      <c r="BD16" s="68">
        <f>IF(AND(BA16&lt;&gt;"",'Official Results'!Q20&lt;&gt;""),IF(BA16='Official Results'!Q20,'Instructions &amp; Rules'!$K$4,IF(BA16='Official Results'!Q21,'Instructions &amp; Rules'!$K$6,0)),0)+IF(AND(BB16&lt;&gt;"",'Official Results'!Q21&lt;&gt;""),IF(BB16='Official Results'!Q21,'Instructions &amp; Rules'!$K$5,IF(BB16='Official Results'!Q20,'Instructions &amp; Rules'!$K$6,0)),0)+IF(AND(BC16&lt;&gt;"",'Official Results'!Q22&lt;&gt;"",'Official Results'!U22="Yes"),IF(BC16='Official Results'!Q22,'Instructions &amp; Rules'!$K$7,0),0)+IF(AND(BA16='Official Results'!Q20,BB16='Official Results'!Q21,'Official Results'!Q20&lt;&gt;"",'Official Results'!Q21&lt;&gt;""),'Instructions &amp; Rules'!$K$8,0)+IF(AND(BA16='Official Results'!Q20,BB16='Official Results'!Q21,BC16='Official Results'!Q22,'Official Results'!U22="Yes"),'Instructions &amp; Rules'!$K$9,0)</f>
        <v>0</v>
      </c>
      <c r="BE16" s="69">
        <f>IF(AND(BA16&lt;&gt;"",'Official Results'!Q20&lt;&gt;"",BA16='Official Results'!Q20),1,0)+IF(AND(BB16&lt;&gt;"",'Official Results'!Q21&lt;&gt;"",BB16='Official Results'!Q21),1,0)+IF(AND(BC16&lt;&gt;"",'Official Results'!Q22&lt;&gt;"",'Official Results'!U22="Yes",BC16='Official Results'!Q22),1,0)</f>
        <v>0</v>
      </c>
      <c r="BF16" s="101"/>
      <c r="BG16" s="102"/>
      <c r="BH16" s="103"/>
      <c r="BI16" s="68">
        <f>IF(AND(BF16&lt;&gt;"",'Official Results'!X20&lt;&gt;""),IF(BF16='Official Results'!X20,'Instructions &amp; Rules'!$K$4,IF(BF16='Official Results'!X21,'Instructions &amp; Rules'!$K$6,0)),0)+IF(AND(BG16&lt;&gt;"",'Official Results'!X21&lt;&gt;""),IF(BG16='Official Results'!X21,'Instructions &amp; Rules'!$K$5,IF(BG16='Official Results'!X20,'Instructions &amp; Rules'!$K$6,0)),0)+IF(AND(BH16&lt;&gt;"",'Official Results'!X22&lt;&gt;"",'Official Results'!AB22="Yes"),IF(BH16='Official Results'!X22,'Instructions &amp; Rules'!$K$7,0),0)+IF(AND(BF16='Official Results'!X20,BG16='Official Results'!X21,'Official Results'!X20&lt;&gt;"",'Official Results'!X21&lt;&gt;""),'Instructions &amp; Rules'!$K$8,0)+IF(AND(BF16='Official Results'!X20,BG16='Official Results'!X21,BH16='Official Results'!X22,'Official Results'!AB22="Yes"),'Instructions &amp; Rules'!$K$9,0)</f>
        <v>0</v>
      </c>
      <c r="BJ16" s="69">
        <f>IF(AND(BF16&lt;&gt;"",'Official Results'!X20&lt;&gt;"",BF16='Official Results'!X20),1,0)+IF(AND(BG16&lt;&gt;"",'Official Results'!X21&lt;&gt;"",BG16='Official Results'!X21),1,0)+IF(AND(BH16&lt;&gt;"",'Official Results'!X22&lt;&gt;"",'Official Results'!AB22="Yes",BH16='Official Results'!X22),1,0)</f>
        <v>0</v>
      </c>
      <c r="BK16" s="70">
        <f t="shared" si="0"/>
        <v>0</v>
      </c>
      <c r="BL16" s="71">
        <f t="shared" si="1"/>
        <v>0</v>
      </c>
      <c r="BM16" s="72">
        <f t="shared" si="2"/>
        <v>0</v>
      </c>
    </row>
    <row r="17" spans="1:65" ht="15" customHeight="1">
      <c r="A17" s="73" t="str">
        <f>IF(Players!B17="","",Players!B17)</f>
        <v>Player 12</v>
      </c>
      <c r="B17" s="86"/>
      <c r="C17" s="101"/>
      <c r="D17" s="102"/>
      <c r="E17" s="103"/>
      <c r="F17" s="68">
        <f>IF(AND(C17&lt;&gt;"",'Official Results'!C6&lt;&gt;""),IF(C17='Official Results'!C6,'Instructions &amp; Rules'!$K$4,IF(C17='Official Results'!C7,'Instructions &amp; Rules'!$K$6,0)),0)+IF(AND(D17&lt;&gt;"",'Official Results'!C7&lt;&gt;""),IF(D17='Official Results'!C7,'Instructions &amp; Rules'!$K$5,IF(D17='Official Results'!C6,'Instructions &amp; Rules'!$K$6,0)),0)+IF(AND(E17&lt;&gt;"",'Official Results'!C8&lt;&gt;"",'Official Results'!G8="Yes"),IF(E17='Official Results'!C8,'Instructions &amp; Rules'!$K$7,0),0)+IF(AND(C17='Official Results'!C6,D17='Official Results'!C7,'Official Results'!C6&lt;&gt;"",'Official Results'!C7&lt;&gt;""),'Instructions &amp; Rules'!$K$8,0)+IF(AND(C17='Official Results'!C6,D17='Official Results'!C7,E17='Official Results'!C8,'Official Results'!G8="Yes"),'Instructions &amp; Rules'!$K$9,0)</f>
        <v>0</v>
      </c>
      <c r="G17" s="69">
        <f>IF(AND(C17&lt;&gt;"",'Official Results'!C6&lt;&gt;"",C17='Official Results'!C6),1,0)+IF(AND(D17&lt;&gt;"",'Official Results'!C7&lt;&gt;"",D17='Official Results'!C7),1,0)+IF(AND(E17&lt;&gt;"",'Official Results'!C8&lt;&gt;"",'Official Results'!G8="Yes",E17='Official Results'!C8),1,0)</f>
        <v>0</v>
      </c>
      <c r="H17" s="101"/>
      <c r="I17" s="102"/>
      <c r="J17" s="103"/>
      <c r="K17" s="68">
        <f>IF(AND(H17&lt;&gt;"",'Official Results'!J6&lt;&gt;""),IF(H17='Official Results'!J6,'Instructions &amp; Rules'!$K$4,IF(H17='Official Results'!J7,'Instructions &amp; Rules'!$K$6,0)),0)+IF(AND(I17&lt;&gt;"",'Official Results'!J7&lt;&gt;""),IF(I17='Official Results'!J7,'Instructions &amp; Rules'!$K$5,IF(I17='Official Results'!J6,'Instructions &amp; Rules'!$K$6,0)),0)+IF(AND(J17&lt;&gt;"",'Official Results'!J8&lt;&gt;"",'Official Results'!N8="Yes"),IF(J17='Official Results'!J8,'Instructions &amp; Rules'!$K$7,0),0)+IF(AND(H17='Official Results'!J6,I17='Official Results'!J7,'Official Results'!J6&lt;&gt;"",'Official Results'!J7&lt;&gt;""),'Instructions &amp; Rules'!$K$8,0)+IF(AND(H17='Official Results'!J6,I17='Official Results'!J7,J17='Official Results'!J8,'Official Results'!N8="Yes"),'Instructions &amp; Rules'!$K$9,0)</f>
        <v>0</v>
      </c>
      <c r="L17" s="69">
        <f>IF(AND(H17&lt;&gt;"",'Official Results'!J6&lt;&gt;"",H17='Official Results'!J6),1,0)+IF(AND(I17&lt;&gt;"",'Official Results'!J7&lt;&gt;"",I17='Official Results'!J7),1,0)+IF(AND(J17&lt;&gt;"",'Official Results'!J8&lt;&gt;"",'Official Results'!N8="Yes",J17='Official Results'!J8),1,0)</f>
        <v>0</v>
      </c>
      <c r="M17" s="101"/>
      <c r="N17" s="102"/>
      <c r="O17" s="103"/>
      <c r="P17" s="68">
        <f>IF(AND(M17&lt;&gt;"",'Official Results'!Q6&lt;&gt;""),IF(M17='Official Results'!Q6,'Instructions &amp; Rules'!$K$4,IF(M17='Official Results'!Q7,'Instructions &amp; Rules'!$K$6,0)),0)+IF(AND(N17&lt;&gt;"",'Official Results'!Q7&lt;&gt;""),IF(N17='Official Results'!Q7,'Instructions &amp; Rules'!$K$5,IF(N17='Official Results'!Q6,'Instructions &amp; Rules'!$K$6,0)),0)+IF(AND(O17&lt;&gt;"",'Official Results'!Q8&lt;&gt;"",'Official Results'!U8="Yes"),IF(O17='Official Results'!Q8,'Instructions &amp; Rules'!$K$7,0),0)+IF(AND(M17='Official Results'!Q6,N17='Official Results'!Q7,'Official Results'!Q6&lt;&gt;"",'Official Results'!Q7&lt;&gt;""),'Instructions &amp; Rules'!$K$8,0)+IF(AND(M17='Official Results'!Q6,N17='Official Results'!Q7,O17='Official Results'!Q8,'Official Results'!U8="Yes"),'Instructions &amp; Rules'!$K$9,0)</f>
        <v>0</v>
      </c>
      <c r="Q17" s="69">
        <f>IF(AND(M17&lt;&gt;"",'Official Results'!Q6&lt;&gt;"",M17='Official Results'!Q6),1,0)+IF(AND(N17&lt;&gt;"",'Official Results'!Q7&lt;&gt;"",N17='Official Results'!Q7),1,0)+IF(AND(O17&lt;&gt;"",'Official Results'!Q8&lt;&gt;"",'Official Results'!U8="Yes",O17='Official Results'!Q8),1,0)</f>
        <v>0</v>
      </c>
      <c r="R17" s="101"/>
      <c r="S17" s="102"/>
      <c r="T17" s="103"/>
      <c r="U17" s="68">
        <f>IF(AND(R17&lt;&gt;"",'Official Results'!X6&lt;&gt;""),IF(R17='Official Results'!X6,'Instructions &amp; Rules'!$K$4,IF(R17='Official Results'!X7,'Instructions &amp; Rules'!$K$6,0)),0)+IF(AND(S17&lt;&gt;"",'Official Results'!X7&lt;&gt;""),IF(S17='Official Results'!X7,'Instructions &amp; Rules'!$K$5,IF(S17='Official Results'!X6,'Instructions &amp; Rules'!$K$6,0)),0)+IF(AND(T17&lt;&gt;"",'Official Results'!X8&lt;&gt;"",'Official Results'!AB8="Yes"),IF(T17='Official Results'!X8,'Instructions &amp; Rules'!$K$7,0),0)+IF(AND(R17='Official Results'!X6,S17='Official Results'!X7,'Official Results'!X6&lt;&gt;"",'Official Results'!X7&lt;&gt;""),'Instructions &amp; Rules'!$K$8,0)+IF(AND(R17='Official Results'!X6,S17='Official Results'!X7,T17='Official Results'!X8,'Official Results'!AB8="Yes"),'Instructions &amp; Rules'!$K$9,0)</f>
        <v>0</v>
      </c>
      <c r="V17" s="69">
        <f>IF(AND(R17&lt;&gt;"",'Official Results'!X6&lt;&gt;"",R17='Official Results'!X6),1,0)+IF(AND(S17&lt;&gt;"",'Official Results'!X7&lt;&gt;"",S17='Official Results'!X7),1,0)+IF(AND(T17&lt;&gt;"",'Official Results'!X8&lt;&gt;"",'Official Results'!AB8="Yes",T17='Official Results'!X8),1,0)</f>
        <v>0</v>
      </c>
      <c r="W17" s="101"/>
      <c r="X17" s="102"/>
      <c r="Y17" s="103"/>
      <c r="Z17" s="68">
        <f>IF(AND(W17&lt;&gt;"",'Official Results'!C13&lt;&gt;""),IF(W17='Official Results'!C13,'Instructions &amp; Rules'!$K$4,IF(W17='Official Results'!C14,'Instructions &amp; Rules'!$K$6,0)),0)+IF(AND(X17&lt;&gt;"",'Official Results'!C14&lt;&gt;""),IF(X17='Official Results'!C14,'Instructions &amp; Rules'!$K$5,IF(X17='Official Results'!C13,'Instructions &amp; Rules'!$K$6,0)),0)+IF(AND(Y17&lt;&gt;"",'Official Results'!C15&lt;&gt;"",'Official Results'!G15="Yes"),IF(Y17='Official Results'!C15,'Instructions &amp; Rules'!$K$7,0),0)+IF(AND(W17='Official Results'!C13,X17='Official Results'!C14,'Official Results'!C13&lt;&gt;"",'Official Results'!C14&lt;&gt;""),'Instructions &amp; Rules'!$K$8,0)+IF(AND(W17='Official Results'!C13,X17='Official Results'!C14,Y17='Official Results'!C15,'Official Results'!G15="Yes"),'Instructions &amp; Rules'!$K$9,0)</f>
        <v>0</v>
      </c>
      <c r="AA17" s="69">
        <f>IF(AND(W17&lt;&gt;"",'Official Results'!C13&lt;&gt;"",W17='Official Results'!C13),1,0)+IF(AND(X17&lt;&gt;"",'Official Results'!C14&lt;&gt;"",X17='Official Results'!C14),1,0)+IF(AND(Y17&lt;&gt;"",'Official Results'!C15&lt;&gt;"",'Official Results'!G15="Yes",Y17='Official Results'!C15),1,0)</f>
        <v>0</v>
      </c>
      <c r="AB17" s="101"/>
      <c r="AC17" s="102"/>
      <c r="AD17" s="103"/>
      <c r="AE17" s="68">
        <f>IF(AND(AB17&lt;&gt;"",'Official Results'!J13&lt;&gt;""),IF(AB17='Official Results'!J13,'Instructions &amp; Rules'!$K$4,IF(AB17='Official Results'!J14,'Instructions &amp; Rules'!$K$6,0)),0)+IF(AND(AC17&lt;&gt;"",'Official Results'!J14&lt;&gt;""),IF(AC17='Official Results'!J14,'Instructions &amp; Rules'!$K$5,IF(AC17='Official Results'!J13,'Instructions &amp; Rules'!$K$6,0)),0)+IF(AND(AD17&lt;&gt;"",'Official Results'!J15&lt;&gt;"",'Official Results'!N15="Yes"),IF(AD17='Official Results'!J15,'Instructions &amp; Rules'!$K$7,0),0)+IF(AND(AB17='Official Results'!J13,AC17='Official Results'!J14,'Official Results'!J13&lt;&gt;"",'Official Results'!J14&lt;&gt;""),'Instructions &amp; Rules'!$K$8,0)+IF(AND(AB17='Official Results'!J13,AC17='Official Results'!J14,AD17='Official Results'!J15,'Official Results'!N15="Yes"),'Instructions &amp; Rules'!$K$9,0)</f>
        <v>0</v>
      </c>
      <c r="AF17" s="69">
        <f>IF(AND(AB17&lt;&gt;"",'Official Results'!J13&lt;&gt;"",AB17='Official Results'!J13),1,0)+IF(AND(AC17&lt;&gt;"",'Official Results'!J14&lt;&gt;"",AC17='Official Results'!J14),1,0)+IF(AND(AD17&lt;&gt;"",'Official Results'!J15&lt;&gt;"",'Official Results'!N15="Yes",AD17='Official Results'!J15),1,0)</f>
        <v>0</v>
      </c>
      <c r="AG17" s="101"/>
      <c r="AH17" s="102"/>
      <c r="AI17" s="103"/>
      <c r="AJ17" s="68">
        <f>IF(AND(AG17&lt;&gt;"",'Official Results'!Q13&lt;&gt;""),IF(AG17='Official Results'!Q13,'Instructions &amp; Rules'!$K$4,IF(AG17='Official Results'!Q14,'Instructions &amp; Rules'!$K$6,0)),0)+IF(AND(AH17&lt;&gt;"",'Official Results'!Q14&lt;&gt;""),IF(AH17='Official Results'!Q14,'Instructions &amp; Rules'!$K$5,IF(AH17='Official Results'!Q13,'Instructions &amp; Rules'!$K$6,0)),0)+IF(AND(AI17&lt;&gt;"",'Official Results'!Q15&lt;&gt;"",'Official Results'!U15="Yes"),IF(AI17='Official Results'!Q15,'Instructions &amp; Rules'!$K$7,0),0)+IF(AND(AG17='Official Results'!Q13,AH17='Official Results'!Q14,'Official Results'!Q13&lt;&gt;"",'Official Results'!Q14&lt;&gt;""),'Instructions &amp; Rules'!$K$8,0)+IF(AND(AG17='Official Results'!Q13,AH17='Official Results'!Q14,AI17='Official Results'!Q15,'Official Results'!U15="Yes"),'Instructions &amp; Rules'!$K$9,0)</f>
        <v>0</v>
      </c>
      <c r="AK17" s="69">
        <f>IF(AND(AG17&lt;&gt;"",'Official Results'!Q13&lt;&gt;"",AG17='Official Results'!Q13),1,0)+IF(AND(AH17&lt;&gt;"",'Official Results'!Q14&lt;&gt;"",AH17='Official Results'!Q14),1,0)+IF(AND(AI17&lt;&gt;"",'Official Results'!Q15&lt;&gt;"",'Official Results'!U15="Yes",AI17='Official Results'!Q15),1,0)</f>
        <v>0</v>
      </c>
      <c r="AL17" s="101"/>
      <c r="AM17" s="102"/>
      <c r="AN17" s="103"/>
      <c r="AO17" s="68">
        <f>IF(AND(AL17&lt;&gt;"",'Official Results'!X13&lt;&gt;""),IF(AL17='Official Results'!X13,'Instructions &amp; Rules'!$K$4,IF(AL17='Official Results'!X14,'Instructions &amp; Rules'!$K$6,0)),0)+IF(AND(AM17&lt;&gt;"",'Official Results'!X14&lt;&gt;""),IF(AM17='Official Results'!X14,'Instructions &amp; Rules'!$K$5,IF(AM17='Official Results'!X13,'Instructions &amp; Rules'!$K$6,0)),0)+IF(AND(AN17&lt;&gt;"",'Official Results'!X15&lt;&gt;"",'Official Results'!AB15="Yes"),IF(AN17='Official Results'!X15,'Instructions &amp; Rules'!$K$7,0),0)+IF(AND(AL17='Official Results'!X13,AM17='Official Results'!X14,'Official Results'!X13&lt;&gt;"",'Official Results'!X14&lt;&gt;""),'Instructions &amp; Rules'!$K$8,0)+IF(AND(AL17='Official Results'!X13,AM17='Official Results'!X14,AN17='Official Results'!X15,'Official Results'!AB15="Yes"),'Instructions &amp; Rules'!$K$9,0)</f>
        <v>0</v>
      </c>
      <c r="AP17" s="69">
        <f>IF(AND(AL17&lt;&gt;"",'Official Results'!X13&lt;&gt;"",AL17='Official Results'!X13),1,0)+IF(AND(AM17&lt;&gt;"",'Official Results'!X14&lt;&gt;"",AM17='Official Results'!X14),1,0)+IF(AND(AN17&lt;&gt;"",'Official Results'!X15&lt;&gt;"",'Official Results'!AB15="Yes",AN17='Official Results'!X15),1,0)</f>
        <v>0</v>
      </c>
      <c r="AQ17" s="101"/>
      <c r="AR17" s="102"/>
      <c r="AS17" s="103"/>
      <c r="AT17" s="68">
        <f>IF(AND(AQ17&lt;&gt;"",'Official Results'!C20&lt;&gt;""),IF(AQ17='Official Results'!C20,'Instructions &amp; Rules'!$K$4,IF(AQ17='Official Results'!C21,'Instructions &amp; Rules'!$K$6,0)),0)+IF(AND(AR17&lt;&gt;"",'Official Results'!C21&lt;&gt;""),IF(AR17='Official Results'!C21,'Instructions &amp; Rules'!$K$5,IF(AR17='Official Results'!C20,'Instructions &amp; Rules'!$K$6,0)),0)+IF(AND(AS17&lt;&gt;"",'Official Results'!C22&lt;&gt;"",'Official Results'!G22="Yes"),IF(AS17='Official Results'!C22,'Instructions &amp; Rules'!$K$7,0),0)+IF(AND(AQ17='Official Results'!C20,AR17='Official Results'!C21,'Official Results'!C20&lt;&gt;"",'Official Results'!C21&lt;&gt;""),'Instructions &amp; Rules'!$K$8,0)+IF(AND(AQ17='Official Results'!C20,AR17='Official Results'!C21,AS17='Official Results'!C22,'Official Results'!G22="Yes"),'Instructions &amp; Rules'!$K$9,0)</f>
        <v>0</v>
      </c>
      <c r="AU17" s="69">
        <f>IF(AND(AQ17&lt;&gt;"",'Official Results'!C20&lt;&gt;"",AQ17='Official Results'!C20),1,0)+IF(AND(AR17&lt;&gt;"",'Official Results'!C21&lt;&gt;"",AR17='Official Results'!C21),1,0)+IF(AND(AS17&lt;&gt;"",'Official Results'!C22&lt;&gt;"",'Official Results'!G22="Yes",AS17='Official Results'!C22),1,0)</f>
        <v>0</v>
      </c>
      <c r="AV17" s="101"/>
      <c r="AW17" s="102"/>
      <c r="AX17" s="103"/>
      <c r="AY17" s="68">
        <f>IF(AND(AV17&lt;&gt;"",'Official Results'!J20&lt;&gt;""),IF(AV17='Official Results'!J20,'Instructions &amp; Rules'!$K$4,IF(AV17='Official Results'!J21,'Instructions &amp; Rules'!$K$6,0)),0)+IF(AND(AW17&lt;&gt;"",'Official Results'!J21&lt;&gt;""),IF(AW17='Official Results'!J21,'Instructions &amp; Rules'!$K$5,IF(AW17='Official Results'!J20,'Instructions &amp; Rules'!$K$6,0)),0)+IF(AND(AX17&lt;&gt;"",'Official Results'!J22&lt;&gt;"",'Official Results'!N22="Yes"),IF(AX17='Official Results'!J22,'Instructions &amp; Rules'!$K$7,0),0)+IF(AND(AV17='Official Results'!J20,AW17='Official Results'!J21,'Official Results'!J20&lt;&gt;"",'Official Results'!J21&lt;&gt;""),'Instructions &amp; Rules'!$K$8,0)+IF(AND(AV17='Official Results'!J20,AW17='Official Results'!J21,AX17='Official Results'!J22,'Official Results'!N22="Yes"),'Instructions &amp; Rules'!$K$9,0)</f>
        <v>0</v>
      </c>
      <c r="AZ17" s="69">
        <f>IF(AND(AV17&lt;&gt;"",'Official Results'!J20&lt;&gt;"",AV17='Official Results'!J20),1,0)+IF(AND(AW17&lt;&gt;"",'Official Results'!J21&lt;&gt;"",AW17='Official Results'!J21),1,0)+IF(AND(AX17&lt;&gt;"",'Official Results'!J22&lt;&gt;"",'Official Results'!N22="Yes",AX17='Official Results'!J22),1,0)</f>
        <v>0</v>
      </c>
      <c r="BA17" s="101"/>
      <c r="BB17" s="102"/>
      <c r="BC17" s="103"/>
      <c r="BD17" s="68">
        <f>IF(AND(BA17&lt;&gt;"",'Official Results'!Q20&lt;&gt;""),IF(BA17='Official Results'!Q20,'Instructions &amp; Rules'!$K$4,IF(BA17='Official Results'!Q21,'Instructions &amp; Rules'!$K$6,0)),0)+IF(AND(BB17&lt;&gt;"",'Official Results'!Q21&lt;&gt;""),IF(BB17='Official Results'!Q21,'Instructions &amp; Rules'!$K$5,IF(BB17='Official Results'!Q20,'Instructions &amp; Rules'!$K$6,0)),0)+IF(AND(BC17&lt;&gt;"",'Official Results'!Q22&lt;&gt;"",'Official Results'!U22="Yes"),IF(BC17='Official Results'!Q22,'Instructions &amp; Rules'!$K$7,0),0)+IF(AND(BA17='Official Results'!Q20,BB17='Official Results'!Q21,'Official Results'!Q20&lt;&gt;"",'Official Results'!Q21&lt;&gt;""),'Instructions &amp; Rules'!$K$8,0)+IF(AND(BA17='Official Results'!Q20,BB17='Official Results'!Q21,BC17='Official Results'!Q22,'Official Results'!U22="Yes"),'Instructions &amp; Rules'!$K$9,0)</f>
        <v>0</v>
      </c>
      <c r="BE17" s="69">
        <f>IF(AND(BA17&lt;&gt;"",'Official Results'!Q20&lt;&gt;"",BA17='Official Results'!Q20),1,0)+IF(AND(BB17&lt;&gt;"",'Official Results'!Q21&lt;&gt;"",BB17='Official Results'!Q21),1,0)+IF(AND(BC17&lt;&gt;"",'Official Results'!Q22&lt;&gt;"",'Official Results'!U22="Yes",BC17='Official Results'!Q22),1,0)</f>
        <v>0</v>
      </c>
      <c r="BF17" s="101"/>
      <c r="BG17" s="102"/>
      <c r="BH17" s="103"/>
      <c r="BI17" s="68">
        <f>IF(AND(BF17&lt;&gt;"",'Official Results'!X20&lt;&gt;""),IF(BF17='Official Results'!X20,'Instructions &amp; Rules'!$K$4,IF(BF17='Official Results'!X21,'Instructions &amp; Rules'!$K$6,0)),0)+IF(AND(BG17&lt;&gt;"",'Official Results'!X21&lt;&gt;""),IF(BG17='Official Results'!X21,'Instructions &amp; Rules'!$K$5,IF(BG17='Official Results'!X20,'Instructions &amp; Rules'!$K$6,0)),0)+IF(AND(BH17&lt;&gt;"",'Official Results'!X22&lt;&gt;"",'Official Results'!AB22="Yes"),IF(BH17='Official Results'!X22,'Instructions &amp; Rules'!$K$7,0),0)+IF(AND(BF17='Official Results'!X20,BG17='Official Results'!X21,'Official Results'!X20&lt;&gt;"",'Official Results'!X21&lt;&gt;""),'Instructions &amp; Rules'!$K$8,0)+IF(AND(BF17='Official Results'!X20,BG17='Official Results'!X21,BH17='Official Results'!X22,'Official Results'!AB22="Yes"),'Instructions &amp; Rules'!$K$9,0)</f>
        <v>0</v>
      </c>
      <c r="BJ17" s="69">
        <f>IF(AND(BF17&lt;&gt;"",'Official Results'!X20&lt;&gt;"",BF17='Official Results'!X20),1,0)+IF(AND(BG17&lt;&gt;"",'Official Results'!X21&lt;&gt;"",BG17='Official Results'!X21),1,0)+IF(AND(BH17&lt;&gt;"",'Official Results'!X22&lt;&gt;"",'Official Results'!AB22="Yes",BH17='Official Results'!X22),1,0)</f>
        <v>0</v>
      </c>
      <c r="BK17" s="70">
        <f t="shared" si="0"/>
        <v>0</v>
      </c>
      <c r="BL17" s="71">
        <f t="shared" si="1"/>
        <v>0</v>
      </c>
      <c r="BM17" s="72">
        <f t="shared" si="2"/>
        <v>0</v>
      </c>
    </row>
    <row r="18" spans="1:65" ht="15" customHeight="1">
      <c r="A18" s="73" t="str">
        <f>IF(Players!B18="","",Players!B18)</f>
        <v>Player 13</v>
      </c>
      <c r="B18" s="86"/>
      <c r="C18" s="101"/>
      <c r="D18" s="102"/>
      <c r="E18" s="103"/>
      <c r="F18" s="68">
        <f>IF(AND(C18&lt;&gt;"",'Official Results'!C6&lt;&gt;""),IF(C18='Official Results'!C6,'Instructions &amp; Rules'!$K$4,IF(C18='Official Results'!C7,'Instructions &amp; Rules'!$K$6,0)),0)+IF(AND(D18&lt;&gt;"",'Official Results'!C7&lt;&gt;""),IF(D18='Official Results'!C7,'Instructions &amp; Rules'!$K$5,IF(D18='Official Results'!C6,'Instructions &amp; Rules'!$K$6,0)),0)+IF(AND(E18&lt;&gt;"",'Official Results'!C8&lt;&gt;"",'Official Results'!G8="Yes"),IF(E18='Official Results'!C8,'Instructions &amp; Rules'!$K$7,0),0)+IF(AND(C18='Official Results'!C6,D18='Official Results'!C7,'Official Results'!C6&lt;&gt;"",'Official Results'!C7&lt;&gt;""),'Instructions &amp; Rules'!$K$8,0)+IF(AND(C18='Official Results'!C6,D18='Official Results'!C7,E18='Official Results'!C8,'Official Results'!G8="Yes"),'Instructions &amp; Rules'!$K$9,0)</f>
        <v>0</v>
      </c>
      <c r="G18" s="69">
        <f>IF(AND(C18&lt;&gt;"",'Official Results'!C6&lt;&gt;"",C18='Official Results'!C6),1,0)+IF(AND(D18&lt;&gt;"",'Official Results'!C7&lt;&gt;"",D18='Official Results'!C7),1,0)+IF(AND(E18&lt;&gt;"",'Official Results'!C8&lt;&gt;"",'Official Results'!G8="Yes",E18='Official Results'!C8),1,0)</f>
        <v>0</v>
      </c>
      <c r="H18" s="101"/>
      <c r="I18" s="102"/>
      <c r="J18" s="103"/>
      <c r="K18" s="68">
        <f>IF(AND(H18&lt;&gt;"",'Official Results'!J6&lt;&gt;""),IF(H18='Official Results'!J6,'Instructions &amp; Rules'!$K$4,IF(H18='Official Results'!J7,'Instructions &amp; Rules'!$K$6,0)),0)+IF(AND(I18&lt;&gt;"",'Official Results'!J7&lt;&gt;""),IF(I18='Official Results'!J7,'Instructions &amp; Rules'!$K$5,IF(I18='Official Results'!J6,'Instructions &amp; Rules'!$K$6,0)),0)+IF(AND(J18&lt;&gt;"",'Official Results'!J8&lt;&gt;"",'Official Results'!N8="Yes"),IF(J18='Official Results'!J8,'Instructions &amp; Rules'!$K$7,0),0)+IF(AND(H18='Official Results'!J6,I18='Official Results'!J7,'Official Results'!J6&lt;&gt;"",'Official Results'!J7&lt;&gt;""),'Instructions &amp; Rules'!$K$8,0)+IF(AND(H18='Official Results'!J6,I18='Official Results'!J7,J18='Official Results'!J8,'Official Results'!N8="Yes"),'Instructions &amp; Rules'!$K$9,0)</f>
        <v>0</v>
      </c>
      <c r="L18" s="69">
        <f>IF(AND(H18&lt;&gt;"",'Official Results'!J6&lt;&gt;"",H18='Official Results'!J6),1,0)+IF(AND(I18&lt;&gt;"",'Official Results'!J7&lt;&gt;"",I18='Official Results'!J7),1,0)+IF(AND(J18&lt;&gt;"",'Official Results'!J8&lt;&gt;"",'Official Results'!N8="Yes",J18='Official Results'!J8),1,0)</f>
        <v>0</v>
      </c>
      <c r="M18" s="101"/>
      <c r="N18" s="102"/>
      <c r="O18" s="103"/>
      <c r="P18" s="68">
        <f>IF(AND(M18&lt;&gt;"",'Official Results'!Q6&lt;&gt;""),IF(M18='Official Results'!Q6,'Instructions &amp; Rules'!$K$4,IF(M18='Official Results'!Q7,'Instructions &amp; Rules'!$K$6,0)),0)+IF(AND(N18&lt;&gt;"",'Official Results'!Q7&lt;&gt;""),IF(N18='Official Results'!Q7,'Instructions &amp; Rules'!$K$5,IF(N18='Official Results'!Q6,'Instructions &amp; Rules'!$K$6,0)),0)+IF(AND(O18&lt;&gt;"",'Official Results'!Q8&lt;&gt;"",'Official Results'!U8="Yes"),IF(O18='Official Results'!Q8,'Instructions &amp; Rules'!$K$7,0),0)+IF(AND(M18='Official Results'!Q6,N18='Official Results'!Q7,'Official Results'!Q6&lt;&gt;"",'Official Results'!Q7&lt;&gt;""),'Instructions &amp; Rules'!$K$8,0)+IF(AND(M18='Official Results'!Q6,N18='Official Results'!Q7,O18='Official Results'!Q8,'Official Results'!U8="Yes"),'Instructions &amp; Rules'!$K$9,0)</f>
        <v>0</v>
      </c>
      <c r="Q18" s="69">
        <f>IF(AND(M18&lt;&gt;"",'Official Results'!Q6&lt;&gt;"",M18='Official Results'!Q6),1,0)+IF(AND(N18&lt;&gt;"",'Official Results'!Q7&lt;&gt;"",N18='Official Results'!Q7),1,0)+IF(AND(O18&lt;&gt;"",'Official Results'!Q8&lt;&gt;"",'Official Results'!U8="Yes",O18='Official Results'!Q8),1,0)</f>
        <v>0</v>
      </c>
      <c r="R18" s="101"/>
      <c r="S18" s="102"/>
      <c r="T18" s="103"/>
      <c r="U18" s="68">
        <f>IF(AND(R18&lt;&gt;"",'Official Results'!X6&lt;&gt;""),IF(R18='Official Results'!X6,'Instructions &amp; Rules'!$K$4,IF(R18='Official Results'!X7,'Instructions &amp; Rules'!$K$6,0)),0)+IF(AND(S18&lt;&gt;"",'Official Results'!X7&lt;&gt;""),IF(S18='Official Results'!X7,'Instructions &amp; Rules'!$K$5,IF(S18='Official Results'!X6,'Instructions &amp; Rules'!$K$6,0)),0)+IF(AND(T18&lt;&gt;"",'Official Results'!X8&lt;&gt;"",'Official Results'!AB8="Yes"),IF(T18='Official Results'!X8,'Instructions &amp; Rules'!$K$7,0),0)+IF(AND(R18='Official Results'!X6,S18='Official Results'!X7,'Official Results'!X6&lt;&gt;"",'Official Results'!X7&lt;&gt;""),'Instructions &amp; Rules'!$K$8,0)+IF(AND(R18='Official Results'!X6,S18='Official Results'!X7,T18='Official Results'!X8,'Official Results'!AB8="Yes"),'Instructions &amp; Rules'!$K$9,0)</f>
        <v>0</v>
      </c>
      <c r="V18" s="69">
        <f>IF(AND(R18&lt;&gt;"",'Official Results'!X6&lt;&gt;"",R18='Official Results'!X6),1,0)+IF(AND(S18&lt;&gt;"",'Official Results'!X7&lt;&gt;"",S18='Official Results'!X7),1,0)+IF(AND(T18&lt;&gt;"",'Official Results'!X8&lt;&gt;"",'Official Results'!AB8="Yes",T18='Official Results'!X8),1,0)</f>
        <v>0</v>
      </c>
      <c r="W18" s="101"/>
      <c r="X18" s="102"/>
      <c r="Y18" s="103"/>
      <c r="Z18" s="68">
        <f>IF(AND(W18&lt;&gt;"",'Official Results'!C13&lt;&gt;""),IF(W18='Official Results'!C13,'Instructions &amp; Rules'!$K$4,IF(W18='Official Results'!C14,'Instructions &amp; Rules'!$K$6,0)),0)+IF(AND(X18&lt;&gt;"",'Official Results'!C14&lt;&gt;""),IF(X18='Official Results'!C14,'Instructions &amp; Rules'!$K$5,IF(X18='Official Results'!C13,'Instructions &amp; Rules'!$K$6,0)),0)+IF(AND(Y18&lt;&gt;"",'Official Results'!C15&lt;&gt;"",'Official Results'!G15="Yes"),IF(Y18='Official Results'!C15,'Instructions &amp; Rules'!$K$7,0),0)+IF(AND(W18='Official Results'!C13,X18='Official Results'!C14,'Official Results'!C13&lt;&gt;"",'Official Results'!C14&lt;&gt;""),'Instructions &amp; Rules'!$K$8,0)+IF(AND(W18='Official Results'!C13,X18='Official Results'!C14,Y18='Official Results'!C15,'Official Results'!G15="Yes"),'Instructions &amp; Rules'!$K$9,0)</f>
        <v>0</v>
      </c>
      <c r="AA18" s="69">
        <f>IF(AND(W18&lt;&gt;"",'Official Results'!C13&lt;&gt;"",W18='Official Results'!C13),1,0)+IF(AND(X18&lt;&gt;"",'Official Results'!C14&lt;&gt;"",X18='Official Results'!C14),1,0)+IF(AND(Y18&lt;&gt;"",'Official Results'!C15&lt;&gt;"",'Official Results'!G15="Yes",Y18='Official Results'!C15),1,0)</f>
        <v>0</v>
      </c>
      <c r="AB18" s="101"/>
      <c r="AC18" s="102"/>
      <c r="AD18" s="103"/>
      <c r="AE18" s="68">
        <f>IF(AND(AB18&lt;&gt;"",'Official Results'!J13&lt;&gt;""),IF(AB18='Official Results'!J13,'Instructions &amp; Rules'!$K$4,IF(AB18='Official Results'!J14,'Instructions &amp; Rules'!$K$6,0)),0)+IF(AND(AC18&lt;&gt;"",'Official Results'!J14&lt;&gt;""),IF(AC18='Official Results'!J14,'Instructions &amp; Rules'!$K$5,IF(AC18='Official Results'!J13,'Instructions &amp; Rules'!$K$6,0)),0)+IF(AND(AD18&lt;&gt;"",'Official Results'!J15&lt;&gt;"",'Official Results'!N15="Yes"),IF(AD18='Official Results'!J15,'Instructions &amp; Rules'!$K$7,0),0)+IF(AND(AB18='Official Results'!J13,AC18='Official Results'!J14,'Official Results'!J13&lt;&gt;"",'Official Results'!J14&lt;&gt;""),'Instructions &amp; Rules'!$K$8,0)+IF(AND(AB18='Official Results'!J13,AC18='Official Results'!J14,AD18='Official Results'!J15,'Official Results'!N15="Yes"),'Instructions &amp; Rules'!$K$9,0)</f>
        <v>0</v>
      </c>
      <c r="AF18" s="69">
        <f>IF(AND(AB18&lt;&gt;"",'Official Results'!J13&lt;&gt;"",AB18='Official Results'!J13),1,0)+IF(AND(AC18&lt;&gt;"",'Official Results'!J14&lt;&gt;"",AC18='Official Results'!J14),1,0)+IF(AND(AD18&lt;&gt;"",'Official Results'!J15&lt;&gt;"",'Official Results'!N15="Yes",AD18='Official Results'!J15),1,0)</f>
        <v>0</v>
      </c>
      <c r="AG18" s="101"/>
      <c r="AH18" s="102"/>
      <c r="AI18" s="103"/>
      <c r="AJ18" s="68">
        <f>IF(AND(AG18&lt;&gt;"",'Official Results'!Q13&lt;&gt;""),IF(AG18='Official Results'!Q13,'Instructions &amp; Rules'!$K$4,IF(AG18='Official Results'!Q14,'Instructions &amp; Rules'!$K$6,0)),0)+IF(AND(AH18&lt;&gt;"",'Official Results'!Q14&lt;&gt;""),IF(AH18='Official Results'!Q14,'Instructions &amp; Rules'!$K$5,IF(AH18='Official Results'!Q13,'Instructions &amp; Rules'!$K$6,0)),0)+IF(AND(AI18&lt;&gt;"",'Official Results'!Q15&lt;&gt;"",'Official Results'!U15="Yes"),IF(AI18='Official Results'!Q15,'Instructions &amp; Rules'!$K$7,0),0)+IF(AND(AG18='Official Results'!Q13,AH18='Official Results'!Q14,'Official Results'!Q13&lt;&gt;"",'Official Results'!Q14&lt;&gt;""),'Instructions &amp; Rules'!$K$8,0)+IF(AND(AG18='Official Results'!Q13,AH18='Official Results'!Q14,AI18='Official Results'!Q15,'Official Results'!U15="Yes"),'Instructions &amp; Rules'!$K$9,0)</f>
        <v>0</v>
      </c>
      <c r="AK18" s="69">
        <f>IF(AND(AG18&lt;&gt;"",'Official Results'!Q13&lt;&gt;"",AG18='Official Results'!Q13),1,0)+IF(AND(AH18&lt;&gt;"",'Official Results'!Q14&lt;&gt;"",AH18='Official Results'!Q14),1,0)+IF(AND(AI18&lt;&gt;"",'Official Results'!Q15&lt;&gt;"",'Official Results'!U15="Yes",AI18='Official Results'!Q15),1,0)</f>
        <v>0</v>
      </c>
      <c r="AL18" s="101"/>
      <c r="AM18" s="102"/>
      <c r="AN18" s="103"/>
      <c r="AO18" s="68">
        <f>IF(AND(AL18&lt;&gt;"",'Official Results'!X13&lt;&gt;""),IF(AL18='Official Results'!X13,'Instructions &amp; Rules'!$K$4,IF(AL18='Official Results'!X14,'Instructions &amp; Rules'!$K$6,0)),0)+IF(AND(AM18&lt;&gt;"",'Official Results'!X14&lt;&gt;""),IF(AM18='Official Results'!X14,'Instructions &amp; Rules'!$K$5,IF(AM18='Official Results'!X13,'Instructions &amp; Rules'!$K$6,0)),0)+IF(AND(AN18&lt;&gt;"",'Official Results'!X15&lt;&gt;"",'Official Results'!AB15="Yes"),IF(AN18='Official Results'!X15,'Instructions &amp; Rules'!$K$7,0),0)+IF(AND(AL18='Official Results'!X13,AM18='Official Results'!X14,'Official Results'!X13&lt;&gt;"",'Official Results'!X14&lt;&gt;""),'Instructions &amp; Rules'!$K$8,0)+IF(AND(AL18='Official Results'!X13,AM18='Official Results'!X14,AN18='Official Results'!X15,'Official Results'!AB15="Yes"),'Instructions &amp; Rules'!$K$9,0)</f>
        <v>0</v>
      </c>
      <c r="AP18" s="69">
        <f>IF(AND(AL18&lt;&gt;"",'Official Results'!X13&lt;&gt;"",AL18='Official Results'!X13),1,0)+IF(AND(AM18&lt;&gt;"",'Official Results'!X14&lt;&gt;"",AM18='Official Results'!X14),1,0)+IF(AND(AN18&lt;&gt;"",'Official Results'!X15&lt;&gt;"",'Official Results'!AB15="Yes",AN18='Official Results'!X15),1,0)</f>
        <v>0</v>
      </c>
      <c r="AQ18" s="101"/>
      <c r="AR18" s="102"/>
      <c r="AS18" s="103"/>
      <c r="AT18" s="68">
        <f>IF(AND(AQ18&lt;&gt;"",'Official Results'!C20&lt;&gt;""),IF(AQ18='Official Results'!C20,'Instructions &amp; Rules'!$K$4,IF(AQ18='Official Results'!C21,'Instructions &amp; Rules'!$K$6,0)),0)+IF(AND(AR18&lt;&gt;"",'Official Results'!C21&lt;&gt;""),IF(AR18='Official Results'!C21,'Instructions &amp; Rules'!$K$5,IF(AR18='Official Results'!C20,'Instructions &amp; Rules'!$K$6,0)),0)+IF(AND(AS18&lt;&gt;"",'Official Results'!C22&lt;&gt;"",'Official Results'!G22="Yes"),IF(AS18='Official Results'!C22,'Instructions &amp; Rules'!$K$7,0),0)+IF(AND(AQ18='Official Results'!C20,AR18='Official Results'!C21,'Official Results'!C20&lt;&gt;"",'Official Results'!C21&lt;&gt;""),'Instructions &amp; Rules'!$K$8,0)+IF(AND(AQ18='Official Results'!C20,AR18='Official Results'!C21,AS18='Official Results'!C22,'Official Results'!G22="Yes"),'Instructions &amp; Rules'!$K$9,0)</f>
        <v>0</v>
      </c>
      <c r="AU18" s="69">
        <f>IF(AND(AQ18&lt;&gt;"",'Official Results'!C20&lt;&gt;"",AQ18='Official Results'!C20),1,0)+IF(AND(AR18&lt;&gt;"",'Official Results'!C21&lt;&gt;"",AR18='Official Results'!C21),1,0)+IF(AND(AS18&lt;&gt;"",'Official Results'!C22&lt;&gt;"",'Official Results'!G22="Yes",AS18='Official Results'!C22),1,0)</f>
        <v>0</v>
      </c>
      <c r="AV18" s="101"/>
      <c r="AW18" s="102"/>
      <c r="AX18" s="103"/>
      <c r="AY18" s="68">
        <f>IF(AND(AV18&lt;&gt;"",'Official Results'!J20&lt;&gt;""),IF(AV18='Official Results'!J20,'Instructions &amp; Rules'!$K$4,IF(AV18='Official Results'!J21,'Instructions &amp; Rules'!$K$6,0)),0)+IF(AND(AW18&lt;&gt;"",'Official Results'!J21&lt;&gt;""),IF(AW18='Official Results'!J21,'Instructions &amp; Rules'!$K$5,IF(AW18='Official Results'!J20,'Instructions &amp; Rules'!$K$6,0)),0)+IF(AND(AX18&lt;&gt;"",'Official Results'!J22&lt;&gt;"",'Official Results'!N22="Yes"),IF(AX18='Official Results'!J22,'Instructions &amp; Rules'!$K$7,0),0)+IF(AND(AV18='Official Results'!J20,AW18='Official Results'!J21,'Official Results'!J20&lt;&gt;"",'Official Results'!J21&lt;&gt;""),'Instructions &amp; Rules'!$K$8,0)+IF(AND(AV18='Official Results'!J20,AW18='Official Results'!J21,AX18='Official Results'!J22,'Official Results'!N22="Yes"),'Instructions &amp; Rules'!$K$9,0)</f>
        <v>0</v>
      </c>
      <c r="AZ18" s="69">
        <f>IF(AND(AV18&lt;&gt;"",'Official Results'!J20&lt;&gt;"",AV18='Official Results'!J20),1,0)+IF(AND(AW18&lt;&gt;"",'Official Results'!J21&lt;&gt;"",AW18='Official Results'!J21),1,0)+IF(AND(AX18&lt;&gt;"",'Official Results'!J22&lt;&gt;"",'Official Results'!N22="Yes",AX18='Official Results'!J22),1,0)</f>
        <v>0</v>
      </c>
      <c r="BA18" s="101"/>
      <c r="BB18" s="102"/>
      <c r="BC18" s="103"/>
      <c r="BD18" s="68">
        <f>IF(AND(BA18&lt;&gt;"",'Official Results'!Q20&lt;&gt;""),IF(BA18='Official Results'!Q20,'Instructions &amp; Rules'!$K$4,IF(BA18='Official Results'!Q21,'Instructions &amp; Rules'!$K$6,0)),0)+IF(AND(BB18&lt;&gt;"",'Official Results'!Q21&lt;&gt;""),IF(BB18='Official Results'!Q21,'Instructions &amp; Rules'!$K$5,IF(BB18='Official Results'!Q20,'Instructions &amp; Rules'!$K$6,0)),0)+IF(AND(BC18&lt;&gt;"",'Official Results'!Q22&lt;&gt;"",'Official Results'!U22="Yes"),IF(BC18='Official Results'!Q22,'Instructions &amp; Rules'!$K$7,0),0)+IF(AND(BA18='Official Results'!Q20,BB18='Official Results'!Q21,'Official Results'!Q20&lt;&gt;"",'Official Results'!Q21&lt;&gt;""),'Instructions &amp; Rules'!$K$8,0)+IF(AND(BA18='Official Results'!Q20,BB18='Official Results'!Q21,BC18='Official Results'!Q22,'Official Results'!U22="Yes"),'Instructions &amp; Rules'!$K$9,0)</f>
        <v>0</v>
      </c>
      <c r="BE18" s="69">
        <f>IF(AND(BA18&lt;&gt;"",'Official Results'!Q20&lt;&gt;"",BA18='Official Results'!Q20),1,0)+IF(AND(BB18&lt;&gt;"",'Official Results'!Q21&lt;&gt;"",BB18='Official Results'!Q21),1,0)+IF(AND(BC18&lt;&gt;"",'Official Results'!Q22&lt;&gt;"",'Official Results'!U22="Yes",BC18='Official Results'!Q22),1,0)</f>
        <v>0</v>
      </c>
      <c r="BF18" s="101"/>
      <c r="BG18" s="102"/>
      <c r="BH18" s="103"/>
      <c r="BI18" s="68">
        <f>IF(AND(BF18&lt;&gt;"",'Official Results'!X20&lt;&gt;""),IF(BF18='Official Results'!X20,'Instructions &amp; Rules'!$K$4,IF(BF18='Official Results'!X21,'Instructions &amp; Rules'!$K$6,0)),0)+IF(AND(BG18&lt;&gt;"",'Official Results'!X21&lt;&gt;""),IF(BG18='Official Results'!X21,'Instructions &amp; Rules'!$K$5,IF(BG18='Official Results'!X20,'Instructions &amp; Rules'!$K$6,0)),0)+IF(AND(BH18&lt;&gt;"",'Official Results'!X22&lt;&gt;"",'Official Results'!AB22="Yes"),IF(BH18='Official Results'!X22,'Instructions &amp; Rules'!$K$7,0),0)+IF(AND(BF18='Official Results'!X20,BG18='Official Results'!X21,'Official Results'!X20&lt;&gt;"",'Official Results'!X21&lt;&gt;""),'Instructions &amp; Rules'!$K$8,0)+IF(AND(BF18='Official Results'!X20,BG18='Official Results'!X21,BH18='Official Results'!X22,'Official Results'!AB22="Yes"),'Instructions &amp; Rules'!$K$9,0)</f>
        <v>0</v>
      </c>
      <c r="BJ18" s="69">
        <f>IF(AND(BF18&lt;&gt;"",'Official Results'!X20&lt;&gt;"",BF18='Official Results'!X20),1,0)+IF(AND(BG18&lt;&gt;"",'Official Results'!X21&lt;&gt;"",BG18='Official Results'!X21),1,0)+IF(AND(BH18&lt;&gt;"",'Official Results'!X22&lt;&gt;"",'Official Results'!AB22="Yes",BH18='Official Results'!X22),1,0)</f>
        <v>0</v>
      </c>
      <c r="BK18" s="70">
        <f t="shared" si="0"/>
        <v>0</v>
      </c>
      <c r="BL18" s="71">
        <f t="shared" si="1"/>
        <v>0</v>
      </c>
      <c r="BM18" s="72">
        <f t="shared" si="2"/>
        <v>0</v>
      </c>
    </row>
    <row r="19" spans="1:65" ht="15" customHeight="1">
      <c r="A19" s="73" t="str">
        <f>IF(Players!B19="","",Players!B19)</f>
        <v>Player 14</v>
      </c>
      <c r="B19" s="86"/>
      <c r="C19" s="101"/>
      <c r="D19" s="102"/>
      <c r="E19" s="103"/>
      <c r="F19" s="68">
        <f>IF(AND(C19&lt;&gt;"",'Official Results'!C6&lt;&gt;""),IF(C19='Official Results'!C6,'Instructions &amp; Rules'!$K$4,IF(C19='Official Results'!C7,'Instructions &amp; Rules'!$K$6,0)),0)+IF(AND(D19&lt;&gt;"",'Official Results'!C7&lt;&gt;""),IF(D19='Official Results'!C7,'Instructions &amp; Rules'!$K$5,IF(D19='Official Results'!C6,'Instructions &amp; Rules'!$K$6,0)),0)+IF(AND(E19&lt;&gt;"",'Official Results'!C8&lt;&gt;"",'Official Results'!G8="Yes"),IF(E19='Official Results'!C8,'Instructions &amp; Rules'!$K$7,0),0)+IF(AND(C19='Official Results'!C6,D19='Official Results'!C7,'Official Results'!C6&lt;&gt;"",'Official Results'!C7&lt;&gt;""),'Instructions &amp; Rules'!$K$8,0)+IF(AND(C19='Official Results'!C6,D19='Official Results'!C7,E19='Official Results'!C8,'Official Results'!G8="Yes"),'Instructions &amp; Rules'!$K$9,0)</f>
        <v>0</v>
      </c>
      <c r="G19" s="69">
        <f>IF(AND(C19&lt;&gt;"",'Official Results'!C6&lt;&gt;"",C19='Official Results'!C6),1,0)+IF(AND(D19&lt;&gt;"",'Official Results'!C7&lt;&gt;"",D19='Official Results'!C7),1,0)+IF(AND(E19&lt;&gt;"",'Official Results'!C8&lt;&gt;"",'Official Results'!G8="Yes",E19='Official Results'!C8),1,0)</f>
        <v>0</v>
      </c>
      <c r="H19" s="101"/>
      <c r="I19" s="102"/>
      <c r="J19" s="103"/>
      <c r="K19" s="68">
        <f>IF(AND(H19&lt;&gt;"",'Official Results'!J6&lt;&gt;""),IF(H19='Official Results'!J6,'Instructions &amp; Rules'!$K$4,IF(H19='Official Results'!J7,'Instructions &amp; Rules'!$K$6,0)),0)+IF(AND(I19&lt;&gt;"",'Official Results'!J7&lt;&gt;""),IF(I19='Official Results'!J7,'Instructions &amp; Rules'!$K$5,IF(I19='Official Results'!J6,'Instructions &amp; Rules'!$K$6,0)),0)+IF(AND(J19&lt;&gt;"",'Official Results'!J8&lt;&gt;"",'Official Results'!N8="Yes"),IF(J19='Official Results'!J8,'Instructions &amp; Rules'!$K$7,0),0)+IF(AND(H19='Official Results'!J6,I19='Official Results'!J7,'Official Results'!J6&lt;&gt;"",'Official Results'!J7&lt;&gt;""),'Instructions &amp; Rules'!$K$8,0)+IF(AND(H19='Official Results'!J6,I19='Official Results'!J7,J19='Official Results'!J8,'Official Results'!N8="Yes"),'Instructions &amp; Rules'!$K$9,0)</f>
        <v>0</v>
      </c>
      <c r="L19" s="69">
        <f>IF(AND(H19&lt;&gt;"",'Official Results'!J6&lt;&gt;"",H19='Official Results'!J6),1,0)+IF(AND(I19&lt;&gt;"",'Official Results'!J7&lt;&gt;"",I19='Official Results'!J7),1,0)+IF(AND(J19&lt;&gt;"",'Official Results'!J8&lt;&gt;"",'Official Results'!N8="Yes",J19='Official Results'!J8),1,0)</f>
        <v>0</v>
      </c>
      <c r="M19" s="101"/>
      <c r="N19" s="102"/>
      <c r="O19" s="103"/>
      <c r="P19" s="68">
        <f>IF(AND(M19&lt;&gt;"",'Official Results'!Q6&lt;&gt;""),IF(M19='Official Results'!Q6,'Instructions &amp; Rules'!$K$4,IF(M19='Official Results'!Q7,'Instructions &amp; Rules'!$K$6,0)),0)+IF(AND(N19&lt;&gt;"",'Official Results'!Q7&lt;&gt;""),IF(N19='Official Results'!Q7,'Instructions &amp; Rules'!$K$5,IF(N19='Official Results'!Q6,'Instructions &amp; Rules'!$K$6,0)),0)+IF(AND(O19&lt;&gt;"",'Official Results'!Q8&lt;&gt;"",'Official Results'!U8="Yes"),IF(O19='Official Results'!Q8,'Instructions &amp; Rules'!$K$7,0),0)+IF(AND(M19='Official Results'!Q6,N19='Official Results'!Q7,'Official Results'!Q6&lt;&gt;"",'Official Results'!Q7&lt;&gt;""),'Instructions &amp; Rules'!$K$8,0)+IF(AND(M19='Official Results'!Q6,N19='Official Results'!Q7,O19='Official Results'!Q8,'Official Results'!U8="Yes"),'Instructions &amp; Rules'!$K$9,0)</f>
        <v>0</v>
      </c>
      <c r="Q19" s="69">
        <f>IF(AND(M19&lt;&gt;"",'Official Results'!Q6&lt;&gt;"",M19='Official Results'!Q6),1,0)+IF(AND(N19&lt;&gt;"",'Official Results'!Q7&lt;&gt;"",N19='Official Results'!Q7),1,0)+IF(AND(O19&lt;&gt;"",'Official Results'!Q8&lt;&gt;"",'Official Results'!U8="Yes",O19='Official Results'!Q8),1,0)</f>
        <v>0</v>
      </c>
      <c r="R19" s="101"/>
      <c r="S19" s="102"/>
      <c r="T19" s="103"/>
      <c r="U19" s="68">
        <f>IF(AND(R19&lt;&gt;"",'Official Results'!X6&lt;&gt;""),IF(R19='Official Results'!X6,'Instructions &amp; Rules'!$K$4,IF(R19='Official Results'!X7,'Instructions &amp; Rules'!$K$6,0)),0)+IF(AND(S19&lt;&gt;"",'Official Results'!X7&lt;&gt;""),IF(S19='Official Results'!X7,'Instructions &amp; Rules'!$K$5,IF(S19='Official Results'!X6,'Instructions &amp; Rules'!$K$6,0)),0)+IF(AND(T19&lt;&gt;"",'Official Results'!X8&lt;&gt;"",'Official Results'!AB8="Yes"),IF(T19='Official Results'!X8,'Instructions &amp; Rules'!$K$7,0),0)+IF(AND(R19='Official Results'!X6,S19='Official Results'!X7,'Official Results'!X6&lt;&gt;"",'Official Results'!X7&lt;&gt;""),'Instructions &amp; Rules'!$K$8,0)+IF(AND(R19='Official Results'!X6,S19='Official Results'!X7,T19='Official Results'!X8,'Official Results'!AB8="Yes"),'Instructions &amp; Rules'!$K$9,0)</f>
        <v>0</v>
      </c>
      <c r="V19" s="69">
        <f>IF(AND(R19&lt;&gt;"",'Official Results'!X6&lt;&gt;"",R19='Official Results'!X6),1,0)+IF(AND(S19&lt;&gt;"",'Official Results'!X7&lt;&gt;"",S19='Official Results'!X7),1,0)+IF(AND(T19&lt;&gt;"",'Official Results'!X8&lt;&gt;"",'Official Results'!AB8="Yes",T19='Official Results'!X8),1,0)</f>
        <v>0</v>
      </c>
      <c r="W19" s="101"/>
      <c r="X19" s="102"/>
      <c r="Y19" s="103"/>
      <c r="Z19" s="68">
        <f>IF(AND(W19&lt;&gt;"",'Official Results'!C13&lt;&gt;""),IF(W19='Official Results'!C13,'Instructions &amp; Rules'!$K$4,IF(W19='Official Results'!C14,'Instructions &amp; Rules'!$K$6,0)),0)+IF(AND(X19&lt;&gt;"",'Official Results'!C14&lt;&gt;""),IF(X19='Official Results'!C14,'Instructions &amp; Rules'!$K$5,IF(X19='Official Results'!C13,'Instructions &amp; Rules'!$K$6,0)),0)+IF(AND(Y19&lt;&gt;"",'Official Results'!C15&lt;&gt;"",'Official Results'!G15="Yes"),IF(Y19='Official Results'!C15,'Instructions &amp; Rules'!$K$7,0),0)+IF(AND(W19='Official Results'!C13,X19='Official Results'!C14,'Official Results'!C13&lt;&gt;"",'Official Results'!C14&lt;&gt;""),'Instructions &amp; Rules'!$K$8,0)+IF(AND(W19='Official Results'!C13,X19='Official Results'!C14,Y19='Official Results'!C15,'Official Results'!G15="Yes"),'Instructions &amp; Rules'!$K$9,0)</f>
        <v>0</v>
      </c>
      <c r="AA19" s="69">
        <f>IF(AND(W19&lt;&gt;"",'Official Results'!C13&lt;&gt;"",W19='Official Results'!C13),1,0)+IF(AND(X19&lt;&gt;"",'Official Results'!C14&lt;&gt;"",X19='Official Results'!C14),1,0)+IF(AND(Y19&lt;&gt;"",'Official Results'!C15&lt;&gt;"",'Official Results'!G15="Yes",Y19='Official Results'!C15),1,0)</f>
        <v>0</v>
      </c>
      <c r="AB19" s="101"/>
      <c r="AC19" s="102"/>
      <c r="AD19" s="103"/>
      <c r="AE19" s="68">
        <f>IF(AND(AB19&lt;&gt;"",'Official Results'!J13&lt;&gt;""),IF(AB19='Official Results'!J13,'Instructions &amp; Rules'!$K$4,IF(AB19='Official Results'!J14,'Instructions &amp; Rules'!$K$6,0)),0)+IF(AND(AC19&lt;&gt;"",'Official Results'!J14&lt;&gt;""),IF(AC19='Official Results'!J14,'Instructions &amp; Rules'!$K$5,IF(AC19='Official Results'!J13,'Instructions &amp; Rules'!$K$6,0)),0)+IF(AND(AD19&lt;&gt;"",'Official Results'!J15&lt;&gt;"",'Official Results'!N15="Yes"),IF(AD19='Official Results'!J15,'Instructions &amp; Rules'!$K$7,0),0)+IF(AND(AB19='Official Results'!J13,AC19='Official Results'!J14,'Official Results'!J13&lt;&gt;"",'Official Results'!J14&lt;&gt;""),'Instructions &amp; Rules'!$K$8,0)+IF(AND(AB19='Official Results'!J13,AC19='Official Results'!J14,AD19='Official Results'!J15,'Official Results'!N15="Yes"),'Instructions &amp; Rules'!$K$9,0)</f>
        <v>0</v>
      </c>
      <c r="AF19" s="69">
        <f>IF(AND(AB19&lt;&gt;"",'Official Results'!J13&lt;&gt;"",AB19='Official Results'!J13),1,0)+IF(AND(AC19&lt;&gt;"",'Official Results'!J14&lt;&gt;"",AC19='Official Results'!J14),1,0)+IF(AND(AD19&lt;&gt;"",'Official Results'!J15&lt;&gt;"",'Official Results'!N15="Yes",AD19='Official Results'!J15),1,0)</f>
        <v>0</v>
      </c>
      <c r="AG19" s="101"/>
      <c r="AH19" s="102"/>
      <c r="AI19" s="103"/>
      <c r="AJ19" s="68">
        <f>IF(AND(AG19&lt;&gt;"",'Official Results'!Q13&lt;&gt;""),IF(AG19='Official Results'!Q13,'Instructions &amp; Rules'!$K$4,IF(AG19='Official Results'!Q14,'Instructions &amp; Rules'!$K$6,0)),0)+IF(AND(AH19&lt;&gt;"",'Official Results'!Q14&lt;&gt;""),IF(AH19='Official Results'!Q14,'Instructions &amp; Rules'!$K$5,IF(AH19='Official Results'!Q13,'Instructions &amp; Rules'!$K$6,0)),0)+IF(AND(AI19&lt;&gt;"",'Official Results'!Q15&lt;&gt;"",'Official Results'!U15="Yes"),IF(AI19='Official Results'!Q15,'Instructions &amp; Rules'!$K$7,0),0)+IF(AND(AG19='Official Results'!Q13,AH19='Official Results'!Q14,'Official Results'!Q13&lt;&gt;"",'Official Results'!Q14&lt;&gt;""),'Instructions &amp; Rules'!$K$8,0)+IF(AND(AG19='Official Results'!Q13,AH19='Official Results'!Q14,AI19='Official Results'!Q15,'Official Results'!U15="Yes"),'Instructions &amp; Rules'!$K$9,0)</f>
        <v>0</v>
      </c>
      <c r="AK19" s="69">
        <f>IF(AND(AG19&lt;&gt;"",'Official Results'!Q13&lt;&gt;"",AG19='Official Results'!Q13),1,0)+IF(AND(AH19&lt;&gt;"",'Official Results'!Q14&lt;&gt;"",AH19='Official Results'!Q14),1,0)+IF(AND(AI19&lt;&gt;"",'Official Results'!Q15&lt;&gt;"",'Official Results'!U15="Yes",AI19='Official Results'!Q15),1,0)</f>
        <v>0</v>
      </c>
      <c r="AL19" s="101"/>
      <c r="AM19" s="102"/>
      <c r="AN19" s="103"/>
      <c r="AO19" s="68">
        <f>IF(AND(AL19&lt;&gt;"",'Official Results'!X13&lt;&gt;""),IF(AL19='Official Results'!X13,'Instructions &amp; Rules'!$K$4,IF(AL19='Official Results'!X14,'Instructions &amp; Rules'!$K$6,0)),0)+IF(AND(AM19&lt;&gt;"",'Official Results'!X14&lt;&gt;""),IF(AM19='Official Results'!X14,'Instructions &amp; Rules'!$K$5,IF(AM19='Official Results'!X13,'Instructions &amp; Rules'!$K$6,0)),0)+IF(AND(AN19&lt;&gt;"",'Official Results'!X15&lt;&gt;"",'Official Results'!AB15="Yes"),IF(AN19='Official Results'!X15,'Instructions &amp; Rules'!$K$7,0),0)+IF(AND(AL19='Official Results'!X13,AM19='Official Results'!X14,'Official Results'!X13&lt;&gt;"",'Official Results'!X14&lt;&gt;""),'Instructions &amp; Rules'!$K$8,0)+IF(AND(AL19='Official Results'!X13,AM19='Official Results'!X14,AN19='Official Results'!X15,'Official Results'!AB15="Yes"),'Instructions &amp; Rules'!$K$9,0)</f>
        <v>0</v>
      </c>
      <c r="AP19" s="69">
        <f>IF(AND(AL19&lt;&gt;"",'Official Results'!X13&lt;&gt;"",AL19='Official Results'!X13),1,0)+IF(AND(AM19&lt;&gt;"",'Official Results'!X14&lt;&gt;"",AM19='Official Results'!X14),1,0)+IF(AND(AN19&lt;&gt;"",'Official Results'!X15&lt;&gt;"",'Official Results'!AB15="Yes",AN19='Official Results'!X15),1,0)</f>
        <v>0</v>
      </c>
      <c r="AQ19" s="101"/>
      <c r="AR19" s="102"/>
      <c r="AS19" s="103"/>
      <c r="AT19" s="68">
        <f>IF(AND(AQ19&lt;&gt;"",'Official Results'!C20&lt;&gt;""),IF(AQ19='Official Results'!C20,'Instructions &amp; Rules'!$K$4,IF(AQ19='Official Results'!C21,'Instructions &amp; Rules'!$K$6,0)),0)+IF(AND(AR19&lt;&gt;"",'Official Results'!C21&lt;&gt;""),IF(AR19='Official Results'!C21,'Instructions &amp; Rules'!$K$5,IF(AR19='Official Results'!C20,'Instructions &amp; Rules'!$K$6,0)),0)+IF(AND(AS19&lt;&gt;"",'Official Results'!C22&lt;&gt;"",'Official Results'!G22="Yes"),IF(AS19='Official Results'!C22,'Instructions &amp; Rules'!$K$7,0),0)+IF(AND(AQ19='Official Results'!C20,AR19='Official Results'!C21,'Official Results'!C20&lt;&gt;"",'Official Results'!C21&lt;&gt;""),'Instructions &amp; Rules'!$K$8,0)+IF(AND(AQ19='Official Results'!C20,AR19='Official Results'!C21,AS19='Official Results'!C22,'Official Results'!G22="Yes"),'Instructions &amp; Rules'!$K$9,0)</f>
        <v>0</v>
      </c>
      <c r="AU19" s="69">
        <f>IF(AND(AQ19&lt;&gt;"",'Official Results'!C20&lt;&gt;"",AQ19='Official Results'!C20),1,0)+IF(AND(AR19&lt;&gt;"",'Official Results'!C21&lt;&gt;"",AR19='Official Results'!C21),1,0)+IF(AND(AS19&lt;&gt;"",'Official Results'!C22&lt;&gt;"",'Official Results'!G22="Yes",AS19='Official Results'!C22),1,0)</f>
        <v>0</v>
      </c>
      <c r="AV19" s="101"/>
      <c r="AW19" s="102"/>
      <c r="AX19" s="103"/>
      <c r="AY19" s="68">
        <f>IF(AND(AV19&lt;&gt;"",'Official Results'!J20&lt;&gt;""),IF(AV19='Official Results'!J20,'Instructions &amp; Rules'!$K$4,IF(AV19='Official Results'!J21,'Instructions &amp; Rules'!$K$6,0)),0)+IF(AND(AW19&lt;&gt;"",'Official Results'!J21&lt;&gt;""),IF(AW19='Official Results'!J21,'Instructions &amp; Rules'!$K$5,IF(AW19='Official Results'!J20,'Instructions &amp; Rules'!$K$6,0)),0)+IF(AND(AX19&lt;&gt;"",'Official Results'!J22&lt;&gt;"",'Official Results'!N22="Yes"),IF(AX19='Official Results'!J22,'Instructions &amp; Rules'!$K$7,0),0)+IF(AND(AV19='Official Results'!J20,AW19='Official Results'!J21,'Official Results'!J20&lt;&gt;"",'Official Results'!J21&lt;&gt;""),'Instructions &amp; Rules'!$K$8,0)+IF(AND(AV19='Official Results'!J20,AW19='Official Results'!J21,AX19='Official Results'!J22,'Official Results'!N22="Yes"),'Instructions &amp; Rules'!$K$9,0)</f>
        <v>0</v>
      </c>
      <c r="AZ19" s="69">
        <f>IF(AND(AV19&lt;&gt;"",'Official Results'!J20&lt;&gt;"",AV19='Official Results'!J20),1,0)+IF(AND(AW19&lt;&gt;"",'Official Results'!J21&lt;&gt;"",AW19='Official Results'!J21),1,0)+IF(AND(AX19&lt;&gt;"",'Official Results'!J22&lt;&gt;"",'Official Results'!N22="Yes",AX19='Official Results'!J22),1,0)</f>
        <v>0</v>
      </c>
      <c r="BA19" s="101"/>
      <c r="BB19" s="102"/>
      <c r="BC19" s="103"/>
      <c r="BD19" s="68">
        <f>IF(AND(BA19&lt;&gt;"",'Official Results'!Q20&lt;&gt;""),IF(BA19='Official Results'!Q20,'Instructions &amp; Rules'!$K$4,IF(BA19='Official Results'!Q21,'Instructions &amp; Rules'!$K$6,0)),0)+IF(AND(BB19&lt;&gt;"",'Official Results'!Q21&lt;&gt;""),IF(BB19='Official Results'!Q21,'Instructions &amp; Rules'!$K$5,IF(BB19='Official Results'!Q20,'Instructions &amp; Rules'!$K$6,0)),0)+IF(AND(BC19&lt;&gt;"",'Official Results'!Q22&lt;&gt;"",'Official Results'!U22="Yes"),IF(BC19='Official Results'!Q22,'Instructions &amp; Rules'!$K$7,0),0)+IF(AND(BA19='Official Results'!Q20,BB19='Official Results'!Q21,'Official Results'!Q20&lt;&gt;"",'Official Results'!Q21&lt;&gt;""),'Instructions &amp; Rules'!$K$8,0)+IF(AND(BA19='Official Results'!Q20,BB19='Official Results'!Q21,BC19='Official Results'!Q22,'Official Results'!U22="Yes"),'Instructions &amp; Rules'!$K$9,0)</f>
        <v>0</v>
      </c>
      <c r="BE19" s="69">
        <f>IF(AND(BA19&lt;&gt;"",'Official Results'!Q20&lt;&gt;"",BA19='Official Results'!Q20),1,0)+IF(AND(BB19&lt;&gt;"",'Official Results'!Q21&lt;&gt;"",BB19='Official Results'!Q21),1,0)+IF(AND(BC19&lt;&gt;"",'Official Results'!Q22&lt;&gt;"",'Official Results'!U22="Yes",BC19='Official Results'!Q22),1,0)</f>
        <v>0</v>
      </c>
      <c r="BF19" s="101"/>
      <c r="BG19" s="102"/>
      <c r="BH19" s="103"/>
      <c r="BI19" s="68">
        <f>IF(AND(BF19&lt;&gt;"",'Official Results'!X20&lt;&gt;""),IF(BF19='Official Results'!X20,'Instructions &amp; Rules'!$K$4,IF(BF19='Official Results'!X21,'Instructions &amp; Rules'!$K$6,0)),0)+IF(AND(BG19&lt;&gt;"",'Official Results'!X21&lt;&gt;""),IF(BG19='Official Results'!X21,'Instructions &amp; Rules'!$K$5,IF(BG19='Official Results'!X20,'Instructions &amp; Rules'!$K$6,0)),0)+IF(AND(BH19&lt;&gt;"",'Official Results'!X22&lt;&gt;"",'Official Results'!AB22="Yes"),IF(BH19='Official Results'!X22,'Instructions &amp; Rules'!$K$7,0),0)+IF(AND(BF19='Official Results'!X20,BG19='Official Results'!X21,'Official Results'!X20&lt;&gt;"",'Official Results'!X21&lt;&gt;""),'Instructions &amp; Rules'!$K$8,0)+IF(AND(BF19='Official Results'!X20,BG19='Official Results'!X21,BH19='Official Results'!X22,'Official Results'!AB22="Yes"),'Instructions &amp; Rules'!$K$9,0)</f>
        <v>0</v>
      </c>
      <c r="BJ19" s="69">
        <f>IF(AND(BF19&lt;&gt;"",'Official Results'!X20&lt;&gt;"",BF19='Official Results'!X20),1,0)+IF(AND(BG19&lt;&gt;"",'Official Results'!X21&lt;&gt;"",BG19='Official Results'!X21),1,0)+IF(AND(BH19&lt;&gt;"",'Official Results'!X22&lt;&gt;"",'Official Results'!AB22="Yes",BH19='Official Results'!X22),1,0)</f>
        <v>0</v>
      </c>
      <c r="BK19" s="70">
        <f t="shared" si="0"/>
        <v>0</v>
      </c>
      <c r="BL19" s="71">
        <f t="shared" si="1"/>
        <v>0</v>
      </c>
      <c r="BM19" s="72">
        <f t="shared" si="2"/>
        <v>0</v>
      </c>
    </row>
    <row r="20" spans="1:65" ht="15" customHeight="1">
      <c r="A20" s="73" t="str">
        <f>IF(Players!B20="","",Players!B20)</f>
        <v>Player 15</v>
      </c>
      <c r="B20" s="86"/>
      <c r="C20" s="101"/>
      <c r="D20" s="102"/>
      <c r="E20" s="103"/>
      <c r="F20" s="68">
        <f>IF(AND(C20&lt;&gt;"",'Official Results'!C6&lt;&gt;""),IF(C20='Official Results'!C6,'Instructions &amp; Rules'!$K$4,IF(C20='Official Results'!C7,'Instructions &amp; Rules'!$K$6,0)),0)+IF(AND(D20&lt;&gt;"",'Official Results'!C7&lt;&gt;""),IF(D20='Official Results'!C7,'Instructions &amp; Rules'!$K$5,IF(D20='Official Results'!C6,'Instructions &amp; Rules'!$K$6,0)),0)+IF(AND(E20&lt;&gt;"",'Official Results'!C8&lt;&gt;"",'Official Results'!G8="Yes"),IF(E20='Official Results'!C8,'Instructions &amp; Rules'!$K$7,0),0)+IF(AND(C20='Official Results'!C6,D20='Official Results'!C7,'Official Results'!C6&lt;&gt;"",'Official Results'!C7&lt;&gt;""),'Instructions &amp; Rules'!$K$8,0)+IF(AND(C20='Official Results'!C6,D20='Official Results'!C7,E20='Official Results'!C8,'Official Results'!G8="Yes"),'Instructions &amp; Rules'!$K$9,0)</f>
        <v>0</v>
      </c>
      <c r="G20" s="69">
        <f>IF(AND(C20&lt;&gt;"",'Official Results'!C6&lt;&gt;"",C20='Official Results'!C6),1,0)+IF(AND(D20&lt;&gt;"",'Official Results'!C7&lt;&gt;"",D20='Official Results'!C7),1,0)+IF(AND(E20&lt;&gt;"",'Official Results'!C8&lt;&gt;"",'Official Results'!G8="Yes",E20='Official Results'!C8),1,0)</f>
        <v>0</v>
      </c>
      <c r="H20" s="101"/>
      <c r="I20" s="102"/>
      <c r="J20" s="103"/>
      <c r="K20" s="68">
        <f>IF(AND(H20&lt;&gt;"",'Official Results'!J6&lt;&gt;""),IF(H20='Official Results'!J6,'Instructions &amp; Rules'!$K$4,IF(H20='Official Results'!J7,'Instructions &amp; Rules'!$K$6,0)),0)+IF(AND(I20&lt;&gt;"",'Official Results'!J7&lt;&gt;""),IF(I20='Official Results'!J7,'Instructions &amp; Rules'!$K$5,IF(I20='Official Results'!J6,'Instructions &amp; Rules'!$K$6,0)),0)+IF(AND(J20&lt;&gt;"",'Official Results'!J8&lt;&gt;"",'Official Results'!N8="Yes"),IF(J20='Official Results'!J8,'Instructions &amp; Rules'!$K$7,0),0)+IF(AND(H20='Official Results'!J6,I20='Official Results'!J7,'Official Results'!J6&lt;&gt;"",'Official Results'!J7&lt;&gt;""),'Instructions &amp; Rules'!$K$8,0)+IF(AND(H20='Official Results'!J6,I20='Official Results'!J7,J20='Official Results'!J8,'Official Results'!N8="Yes"),'Instructions &amp; Rules'!$K$9,0)</f>
        <v>0</v>
      </c>
      <c r="L20" s="69">
        <f>IF(AND(H20&lt;&gt;"",'Official Results'!J6&lt;&gt;"",H20='Official Results'!J6),1,0)+IF(AND(I20&lt;&gt;"",'Official Results'!J7&lt;&gt;"",I20='Official Results'!J7),1,0)+IF(AND(J20&lt;&gt;"",'Official Results'!J8&lt;&gt;"",'Official Results'!N8="Yes",J20='Official Results'!J8),1,0)</f>
        <v>0</v>
      </c>
      <c r="M20" s="101"/>
      <c r="N20" s="102"/>
      <c r="O20" s="103"/>
      <c r="P20" s="68">
        <f>IF(AND(M20&lt;&gt;"",'Official Results'!Q6&lt;&gt;""),IF(M20='Official Results'!Q6,'Instructions &amp; Rules'!$K$4,IF(M20='Official Results'!Q7,'Instructions &amp; Rules'!$K$6,0)),0)+IF(AND(N20&lt;&gt;"",'Official Results'!Q7&lt;&gt;""),IF(N20='Official Results'!Q7,'Instructions &amp; Rules'!$K$5,IF(N20='Official Results'!Q6,'Instructions &amp; Rules'!$K$6,0)),0)+IF(AND(O20&lt;&gt;"",'Official Results'!Q8&lt;&gt;"",'Official Results'!U8="Yes"),IF(O20='Official Results'!Q8,'Instructions &amp; Rules'!$K$7,0),0)+IF(AND(M20='Official Results'!Q6,N20='Official Results'!Q7,'Official Results'!Q6&lt;&gt;"",'Official Results'!Q7&lt;&gt;""),'Instructions &amp; Rules'!$K$8,0)+IF(AND(M20='Official Results'!Q6,N20='Official Results'!Q7,O20='Official Results'!Q8,'Official Results'!U8="Yes"),'Instructions &amp; Rules'!$K$9,0)</f>
        <v>0</v>
      </c>
      <c r="Q20" s="69">
        <f>IF(AND(M20&lt;&gt;"",'Official Results'!Q6&lt;&gt;"",M20='Official Results'!Q6),1,0)+IF(AND(N20&lt;&gt;"",'Official Results'!Q7&lt;&gt;"",N20='Official Results'!Q7),1,0)+IF(AND(O20&lt;&gt;"",'Official Results'!Q8&lt;&gt;"",'Official Results'!U8="Yes",O20='Official Results'!Q8),1,0)</f>
        <v>0</v>
      </c>
      <c r="R20" s="101"/>
      <c r="S20" s="102"/>
      <c r="T20" s="103"/>
      <c r="U20" s="68">
        <f>IF(AND(R20&lt;&gt;"",'Official Results'!X6&lt;&gt;""),IF(R20='Official Results'!X6,'Instructions &amp; Rules'!$K$4,IF(R20='Official Results'!X7,'Instructions &amp; Rules'!$K$6,0)),0)+IF(AND(S20&lt;&gt;"",'Official Results'!X7&lt;&gt;""),IF(S20='Official Results'!X7,'Instructions &amp; Rules'!$K$5,IF(S20='Official Results'!X6,'Instructions &amp; Rules'!$K$6,0)),0)+IF(AND(T20&lt;&gt;"",'Official Results'!X8&lt;&gt;"",'Official Results'!AB8="Yes"),IF(T20='Official Results'!X8,'Instructions &amp; Rules'!$K$7,0),0)+IF(AND(R20='Official Results'!X6,S20='Official Results'!X7,'Official Results'!X6&lt;&gt;"",'Official Results'!X7&lt;&gt;""),'Instructions &amp; Rules'!$K$8,0)+IF(AND(R20='Official Results'!X6,S20='Official Results'!X7,T20='Official Results'!X8,'Official Results'!AB8="Yes"),'Instructions &amp; Rules'!$K$9,0)</f>
        <v>0</v>
      </c>
      <c r="V20" s="69">
        <f>IF(AND(R20&lt;&gt;"",'Official Results'!X6&lt;&gt;"",R20='Official Results'!X6),1,0)+IF(AND(S20&lt;&gt;"",'Official Results'!X7&lt;&gt;"",S20='Official Results'!X7),1,0)+IF(AND(T20&lt;&gt;"",'Official Results'!X8&lt;&gt;"",'Official Results'!AB8="Yes",T20='Official Results'!X8),1,0)</f>
        <v>0</v>
      </c>
      <c r="W20" s="101"/>
      <c r="X20" s="102"/>
      <c r="Y20" s="103"/>
      <c r="Z20" s="68">
        <f>IF(AND(W20&lt;&gt;"",'Official Results'!C13&lt;&gt;""),IF(W20='Official Results'!C13,'Instructions &amp; Rules'!$K$4,IF(W20='Official Results'!C14,'Instructions &amp; Rules'!$K$6,0)),0)+IF(AND(X20&lt;&gt;"",'Official Results'!C14&lt;&gt;""),IF(X20='Official Results'!C14,'Instructions &amp; Rules'!$K$5,IF(X20='Official Results'!C13,'Instructions &amp; Rules'!$K$6,0)),0)+IF(AND(Y20&lt;&gt;"",'Official Results'!C15&lt;&gt;"",'Official Results'!G15="Yes"),IF(Y20='Official Results'!C15,'Instructions &amp; Rules'!$K$7,0),0)+IF(AND(W20='Official Results'!C13,X20='Official Results'!C14,'Official Results'!C13&lt;&gt;"",'Official Results'!C14&lt;&gt;""),'Instructions &amp; Rules'!$K$8,0)+IF(AND(W20='Official Results'!C13,X20='Official Results'!C14,Y20='Official Results'!C15,'Official Results'!G15="Yes"),'Instructions &amp; Rules'!$K$9,0)</f>
        <v>0</v>
      </c>
      <c r="AA20" s="69">
        <f>IF(AND(W20&lt;&gt;"",'Official Results'!C13&lt;&gt;"",W20='Official Results'!C13),1,0)+IF(AND(X20&lt;&gt;"",'Official Results'!C14&lt;&gt;"",X20='Official Results'!C14),1,0)+IF(AND(Y20&lt;&gt;"",'Official Results'!C15&lt;&gt;"",'Official Results'!G15="Yes",Y20='Official Results'!C15),1,0)</f>
        <v>0</v>
      </c>
      <c r="AB20" s="101"/>
      <c r="AC20" s="102"/>
      <c r="AD20" s="103"/>
      <c r="AE20" s="68">
        <f>IF(AND(AB20&lt;&gt;"",'Official Results'!J13&lt;&gt;""),IF(AB20='Official Results'!J13,'Instructions &amp; Rules'!$K$4,IF(AB20='Official Results'!J14,'Instructions &amp; Rules'!$K$6,0)),0)+IF(AND(AC20&lt;&gt;"",'Official Results'!J14&lt;&gt;""),IF(AC20='Official Results'!J14,'Instructions &amp; Rules'!$K$5,IF(AC20='Official Results'!J13,'Instructions &amp; Rules'!$K$6,0)),0)+IF(AND(AD20&lt;&gt;"",'Official Results'!J15&lt;&gt;"",'Official Results'!N15="Yes"),IF(AD20='Official Results'!J15,'Instructions &amp; Rules'!$K$7,0),0)+IF(AND(AB20='Official Results'!J13,AC20='Official Results'!J14,'Official Results'!J13&lt;&gt;"",'Official Results'!J14&lt;&gt;""),'Instructions &amp; Rules'!$K$8,0)+IF(AND(AB20='Official Results'!J13,AC20='Official Results'!J14,AD20='Official Results'!J15,'Official Results'!N15="Yes"),'Instructions &amp; Rules'!$K$9,0)</f>
        <v>0</v>
      </c>
      <c r="AF20" s="69">
        <f>IF(AND(AB20&lt;&gt;"",'Official Results'!J13&lt;&gt;"",AB20='Official Results'!J13),1,0)+IF(AND(AC20&lt;&gt;"",'Official Results'!J14&lt;&gt;"",AC20='Official Results'!J14),1,0)+IF(AND(AD20&lt;&gt;"",'Official Results'!J15&lt;&gt;"",'Official Results'!N15="Yes",AD20='Official Results'!J15),1,0)</f>
        <v>0</v>
      </c>
      <c r="AG20" s="101"/>
      <c r="AH20" s="102"/>
      <c r="AI20" s="103"/>
      <c r="AJ20" s="68">
        <f>IF(AND(AG20&lt;&gt;"",'Official Results'!Q13&lt;&gt;""),IF(AG20='Official Results'!Q13,'Instructions &amp; Rules'!$K$4,IF(AG20='Official Results'!Q14,'Instructions &amp; Rules'!$K$6,0)),0)+IF(AND(AH20&lt;&gt;"",'Official Results'!Q14&lt;&gt;""),IF(AH20='Official Results'!Q14,'Instructions &amp; Rules'!$K$5,IF(AH20='Official Results'!Q13,'Instructions &amp; Rules'!$K$6,0)),0)+IF(AND(AI20&lt;&gt;"",'Official Results'!Q15&lt;&gt;"",'Official Results'!U15="Yes"),IF(AI20='Official Results'!Q15,'Instructions &amp; Rules'!$K$7,0),0)+IF(AND(AG20='Official Results'!Q13,AH20='Official Results'!Q14,'Official Results'!Q13&lt;&gt;"",'Official Results'!Q14&lt;&gt;""),'Instructions &amp; Rules'!$K$8,0)+IF(AND(AG20='Official Results'!Q13,AH20='Official Results'!Q14,AI20='Official Results'!Q15,'Official Results'!U15="Yes"),'Instructions &amp; Rules'!$K$9,0)</f>
        <v>0</v>
      </c>
      <c r="AK20" s="69">
        <f>IF(AND(AG20&lt;&gt;"",'Official Results'!Q13&lt;&gt;"",AG20='Official Results'!Q13),1,0)+IF(AND(AH20&lt;&gt;"",'Official Results'!Q14&lt;&gt;"",AH20='Official Results'!Q14),1,0)+IF(AND(AI20&lt;&gt;"",'Official Results'!Q15&lt;&gt;"",'Official Results'!U15="Yes",AI20='Official Results'!Q15),1,0)</f>
        <v>0</v>
      </c>
      <c r="AL20" s="101"/>
      <c r="AM20" s="102"/>
      <c r="AN20" s="103"/>
      <c r="AO20" s="68">
        <f>IF(AND(AL20&lt;&gt;"",'Official Results'!X13&lt;&gt;""),IF(AL20='Official Results'!X13,'Instructions &amp; Rules'!$K$4,IF(AL20='Official Results'!X14,'Instructions &amp; Rules'!$K$6,0)),0)+IF(AND(AM20&lt;&gt;"",'Official Results'!X14&lt;&gt;""),IF(AM20='Official Results'!X14,'Instructions &amp; Rules'!$K$5,IF(AM20='Official Results'!X13,'Instructions &amp; Rules'!$K$6,0)),0)+IF(AND(AN20&lt;&gt;"",'Official Results'!X15&lt;&gt;"",'Official Results'!AB15="Yes"),IF(AN20='Official Results'!X15,'Instructions &amp; Rules'!$K$7,0),0)+IF(AND(AL20='Official Results'!X13,AM20='Official Results'!X14,'Official Results'!X13&lt;&gt;"",'Official Results'!X14&lt;&gt;""),'Instructions &amp; Rules'!$K$8,0)+IF(AND(AL20='Official Results'!X13,AM20='Official Results'!X14,AN20='Official Results'!X15,'Official Results'!AB15="Yes"),'Instructions &amp; Rules'!$K$9,0)</f>
        <v>0</v>
      </c>
      <c r="AP20" s="69">
        <f>IF(AND(AL20&lt;&gt;"",'Official Results'!X13&lt;&gt;"",AL20='Official Results'!X13),1,0)+IF(AND(AM20&lt;&gt;"",'Official Results'!X14&lt;&gt;"",AM20='Official Results'!X14),1,0)+IF(AND(AN20&lt;&gt;"",'Official Results'!X15&lt;&gt;"",'Official Results'!AB15="Yes",AN20='Official Results'!X15),1,0)</f>
        <v>0</v>
      </c>
      <c r="AQ20" s="101"/>
      <c r="AR20" s="102"/>
      <c r="AS20" s="103"/>
      <c r="AT20" s="68">
        <f>IF(AND(AQ20&lt;&gt;"",'Official Results'!C20&lt;&gt;""),IF(AQ20='Official Results'!C20,'Instructions &amp; Rules'!$K$4,IF(AQ20='Official Results'!C21,'Instructions &amp; Rules'!$K$6,0)),0)+IF(AND(AR20&lt;&gt;"",'Official Results'!C21&lt;&gt;""),IF(AR20='Official Results'!C21,'Instructions &amp; Rules'!$K$5,IF(AR20='Official Results'!C20,'Instructions &amp; Rules'!$K$6,0)),0)+IF(AND(AS20&lt;&gt;"",'Official Results'!C22&lt;&gt;"",'Official Results'!G22="Yes"),IF(AS20='Official Results'!C22,'Instructions &amp; Rules'!$K$7,0),0)+IF(AND(AQ20='Official Results'!C20,AR20='Official Results'!C21,'Official Results'!C20&lt;&gt;"",'Official Results'!C21&lt;&gt;""),'Instructions &amp; Rules'!$K$8,0)+IF(AND(AQ20='Official Results'!C20,AR20='Official Results'!C21,AS20='Official Results'!C22,'Official Results'!G22="Yes"),'Instructions &amp; Rules'!$K$9,0)</f>
        <v>0</v>
      </c>
      <c r="AU20" s="69">
        <f>IF(AND(AQ20&lt;&gt;"",'Official Results'!C20&lt;&gt;"",AQ20='Official Results'!C20),1,0)+IF(AND(AR20&lt;&gt;"",'Official Results'!C21&lt;&gt;"",AR20='Official Results'!C21),1,0)+IF(AND(AS20&lt;&gt;"",'Official Results'!C22&lt;&gt;"",'Official Results'!G22="Yes",AS20='Official Results'!C22),1,0)</f>
        <v>0</v>
      </c>
      <c r="AV20" s="101"/>
      <c r="AW20" s="102"/>
      <c r="AX20" s="103"/>
      <c r="AY20" s="68">
        <f>IF(AND(AV20&lt;&gt;"",'Official Results'!J20&lt;&gt;""),IF(AV20='Official Results'!J20,'Instructions &amp; Rules'!$K$4,IF(AV20='Official Results'!J21,'Instructions &amp; Rules'!$K$6,0)),0)+IF(AND(AW20&lt;&gt;"",'Official Results'!J21&lt;&gt;""),IF(AW20='Official Results'!J21,'Instructions &amp; Rules'!$K$5,IF(AW20='Official Results'!J20,'Instructions &amp; Rules'!$K$6,0)),0)+IF(AND(AX20&lt;&gt;"",'Official Results'!J22&lt;&gt;"",'Official Results'!N22="Yes"),IF(AX20='Official Results'!J22,'Instructions &amp; Rules'!$K$7,0),0)+IF(AND(AV20='Official Results'!J20,AW20='Official Results'!J21,'Official Results'!J20&lt;&gt;"",'Official Results'!J21&lt;&gt;""),'Instructions &amp; Rules'!$K$8,0)+IF(AND(AV20='Official Results'!J20,AW20='Official Results'!J21,AX20='Official Results'!J22,'Official Results'!N22="Yes"),'Instructions &amp; Rules'!$K$9,0)</f>
        <v>0</v>
      </c>
      <c r="AZ20" s="69">
        <f>IF(AND(AV20&lt;&gt;"",'Official Results'!J20&lt;&gt;"",AV20='Official Results'!J20),1,0)+IF(AND(AW20&lt;&gt;"",'Official Results'!J21&lt;&gt;"",AW20='Official Results'!J21),1,0)+IF(AND(AX20&lt;&gt;"",'Official Results'!J22&lt;&gt;"",'Official Results'!N22="Yes",AX20='Official Results'!J22),1,0)</f>
        <v>0</v>
      </c>
      <c r="BA20" s="101"/>
      <c r="BB20" s="102"/>
      <c r="BC20" s="103"/>
      <c r="BD20" s="68">
        <f>IF(AND(BA20&lt;&gt;"",'Official Results'!Q20&lt;&gt;""),IF(BA20='Official Results'!Q20,'Instructions &amp; Rules'!$K$4,IF(BA20='Official Results'!Q21,'Instructions &amp; Rules'!$K$6,0)),0)+IF(AND(BB20&lt;&gt;"",'Official Results'!Q21&lt;&gt;""),IF(BB20='Official Results'!Q21,'Instructions &amp; Rules'!$K$5,IF(BB20='Official Results'!Q20,'Instructions &amp; Rules'!$K$6,0)),0)+IF(AND(BC20&lt;&gt;"",'Official Results'!Q22&lt;&gt;"",'Official Results'!U22="Yes"),IF(BC20='Official Results'!Q22,'Instructions &amp; Rules'!$K$7,0),0)+IF(AND(BA20='Official Results'!Q20,BB20='Official Results'!Q21,'Official Results'!Q20&lt;&gt;"",'Official Results'!Q21&lt;&gt;""),'Instructions &amp; Rules'!$K$8,0)+IF(AND(BA20='Official Results'!Q20,BB20='Official Results'!Q21,BC20='Official Results'!Q22,'Official Results'!U22="Yes"),'Instructions &amp; Rules'!$K$9,0)</f>
        <v>0</v>
      </c>
      <c r="BE20" s="69">
        <f>IF(AND(BA20&lt;&gt;"",'Official Results'!Q20&lt;&gt;"",BA20='Official Results'!Q20),1,0)+IF(AND(BB20&lt;&gt;"",'Official Results'!Q21&lt;&gt;"",BB20='Official Results'!Q21),1,0)+IF(AND(BC20&lt;&gt;"",'Official Results'!Q22&lt;&gt;"",'Official Results'!U22="Yes",BC20='Official Results'!Q22),1,0)</f>
        <v>0</v>
      </c>
      <c r="BF20" s="101"/>
      <c r="BG20" s="102"/>
      <c r="BH20" s="103"/>
      <c r="BI20" s="68">
        <f>IF(AND(BF20&lt;&gt;"",'Official Results'!X20&lt;&gt;""),IF(BF20='Official Results'!X20,'Instructions &amp; Rules'!$K$4,IF(BF20='Official Results'!X21,'Instructions &amp; Rules'!$K$6,0)),0)+IF(AND(BG20&lt;&gt;"",'Official Results'!X21&lt;&gt;""),IF(BG20='Official Results'!X21,'Instructions &amp; Rules'!$K$5,IF(BG20='Official Results'!X20,'Instructions &amp; Rules'!$K$6,0)),0)+IF(AND(BH20&lt;&gt;"",'Official Results'!X22&lt;&gt;"",'Official Results'!AB22="Yes"),IF(BH20='Official Results'!X22,'Instructions &amp; Rules'!$K$7,0),0)+IF(AND(BF20='Official Results'!X20,BG20='Official Results'!X21,'Official Results'!X20&lt;&gt;"",'Official Results'!X21&lt;&gt;""),'Instructions &amp; Rules'!$K$8,0)+IF(AND(BF20='Official Results'!X20,BG20='Official Results'!X21,BH20='Official Results'!X22,'Official Results'!AB22="Yes"),'Instructions &amp; Rules'!$K$9,0)</f>
        <v>0</v>
      </c>
      <c r="BJ20" s="69">
        <f>IF(AND(BF20&lt;&gt;"",'Official Results'!X20&lt;&gt;"",BF20='Official Results'!X20),1,0)+IF(AND(BG20&lt;&gt;"",'Official Results'!X21&lt;&gt;"",BG20='Official Results'!X21),1,0)+IF(AND(BH20&lt;&gt;"",'Official Results'!X22&lt;&gt;"",'Official Results'!AB22="Yes",BH20='Official Results'!X22),1,0)</f>
        <v>0</v>
      </c>
      <c r="BK20" s="70">
        <f t="shared" si="0"/>
        <v>0</v>
      </c>
      <c r="BL20" s="71">
        <f t="shared" si="1"/>
        <v>0</v>
      </c>
      <c r="BM20" s="72">
        <f t="shared" si="2"/>
        <v>0</v>
      </c>
    </row>
    <row r="21" spans="1:65" ht="15" customHeight="1">
      <c r="A21" s="73" t="str">
        <f>IF(Players!B21="","",Players!B21)</f>
        <v>Player 16</v>
      </c>
      <c r="B21" s="86"/>
      <c r="C21" s="101"/>
      <c r="D21" s="102"/>
      <c r="E21" s="103"/>
      <c r="F21" s="68">
        <f>IF(AND(C21&lt;&gt;"",'Official Results'!C6&lt;&gt;""),IF(C21='Official Results'!C6,'Instructions &amp; Rules'!$K$4,IF(C21='Official Results'!C7,'Instructions &amp; Rules'!$K$6,0)),0)+IF(AND(D21&lt;&gt;"",'Official Results'!C7&lt;&gt;""),IF(D21='Official Results'!C7,'Instructions &amp; Rules'!$K$5,IF(D21='Official Results'!C6,'Instructions &amp; Rules'!$K$6,0)),0)+IF(AND(E21&lt;&gt;"",'Official Results'!C8&lt;&gt;"",'Official Results'!G8="Yes"),IF(E21='Official Results'!C8,'Instructions &amp; Rules'!$K$7,0),0)+IF(AND(C21='Official Results'!C6,D21='Official Results'!C7,'Official Results'!C6&lt;&gt;"",'Official Results'!C7&lt;&gt;""),'Instructions &amp; Rules'!$K$8,0)+IF(AND(C21='Official Results'!C6,D21='Official Results'!C7,E21='Official Results'!C8,'Official Results'!G8="Yes"),'Instructions &amp; Rules'!$K$9,0)</f>
        <v>0</v>
      </c>
      <c r="G21" s="69">
        <f>IF(AND(C21&lt;&gt;"",'Official Results'!C6&lt;&gt;"",C21='Official Results'!C6),1,0)+IF(AND(D21&lt;&gt;"",'Official Results'!C7&lt;&gt;"",D21='Official Results'!C7),1,0)+IF(AND(E21&lt;&gt;"",'Official Results'!C8&lt;&gt;"",'Official Results'!G8="Yes",E21='Official Results'!C8),1,0)</f>
        <v>0</v>
      </c>
      <c r="H21" s="101"/>
      <c r="I21" s="102"/>
      <c r="J21" s="103"/>
      <c r="K21" s="68">
        <f>IF(AND(H21&lt;&gt;"",'Official Results'!J6&lt;&gt;""),IF(H21='Official Results'!J6,'Instructions &amp; Rules'!$K$4,IF(H21='Official Results'!J7,'Instructions &amp; Rules'!$K$6,0)),0)+IF(AND(I21&lt;&gt;"",'Official Results'!J7&lt;&gt;""),IF(I21='Official Results'!J7,'Instructions &amp; Rules'!$K$5,IF(I21='Official Results'!J6,'Instructions &amp; Rules'!$K$6,0)),0)+IF(AND(J21&lt;&gt;"",'Official Results'!J8&lt;&gt;"",'Official Results'!N8="Yes"),IF(J21='Official Results'!J8,'Instructions &amp; Rules'!$K$7,0),0)+IF(AND(H21='Official Results'!J6,I21='Official Results'!J7,'Official Results'!J6&lt;&gt;"",'Official Results'!J7&lt;&gt;""),'Instructions &amp; Rules'!$K$8,0)+IF(AND(H21='Official Results'!J6,I21='Official Results'!J7,J21='Official Results'!J8,'Official Results'!N8="Yes"),'Instructions &amp; Rules'!$K$9,0)</f>
        <v>0</v>
      </c>
      <c r="L21" s="69">
        <f>IF(AND(H21&lt;&gt;"",'Official Results'!J6&lt;&gt;"",H21='Official Results'!J6),1,0)+IF(AND(I21&lt;&gt;"",'Official Results'!J7&lt;&gt;"",I21='Official Results'!J7),1,0)+IF(AND(J21&lt;&gt;"",'Official Results'!J8&lt;&gt;"",'Official Results'!N8="Yes",J21='Official Results'!J8),1,0)</f>
        <v>0</v>
      </c>
      <c r="M21" s="101"/>
      <c r="N21" s="102"/>
      <c r="O21" s="103"/>
      <c r="P21" s="68">
        <f>IF(AND(M21&lt;&gt;"",'Official Results'!Q6&lt;&gt;""),IF(M21='Official Results'!Q6,'Instructions &amp; Rules'!$K$4,IF(M21='Official Results'!Q7,'Instructions &amp; Rules'!$K$6,0)),0)+IF(AND(N21&lt;&gt;"",'Official Results'!Q7&lt;&gt;""),IF(N21='Official Results'!Q7,'Instructions &amp; Rules'!$K$5,IF(N21='Official Results'!Q6,'Instructions &amp; Rules'!$K$6,0)),0)+IF(AND(O21&lt;&gt;"",'Official Results'!Q8&lt;&gt;"",'Official Results'!U8="Yes"),IF(O21='Official Results'!Q8,'Instructions &amp; Rules'!$K$7,0),0)+IF(AND(M21='Official Results'!Q6,N21='Official Results'!Q7,'Official Results'!Q6&lt;&gt;"",'Official Results'!Q7&lt;&gt;""),'Instructions &amp; Rules'!$K$8,0)+IF(AND(M21='Official Results'!Q6,N21='Official Results'!Q7,O21='Official Results'!Q8,'Official Results'!U8="Yes"),'Instructions &amp; Rules'!$K$9,0)</f>
        <v>0</v>
      </c>
      <c r="Q21" s="69">
        <f>IF(AND(M21&lt;&gt;"",'Official Results'!Q6&lt;&gt;"",M21='Official Results'!Q6),1,0)+IF(AND(N21&lt;&gt;"",'Official Results'!Q7&lt;&gt;"",N21='Official Results'!Q7),1,0)+IF(AND(O21&lt;&gt;"",'Official Results'!Q8&lt;&gt;"",'Official Results'!U8="Yes",O21='Official Results'!Q8),1,0)</f>
        <v>0</v>
      </c>
      <c r="R21" s="101"/>
      <c r="S21" s="102"/>
      <c r="T21" s="103"/>
      <c r="U21" s="68">
        <f>IF(AND(R21&lt;&gt;"",'Official Results'!X6&lt;&gt;""),IF(R21='Official Results'!X6,'Instructions &amp; Rules'!$K$4,IF(R21='Official Results'!X7,'Instructions &amp; Rules'!$K$6,0)),0)+IF(AND(S21&lt;&gt;"",'Official Results'!X7&lt;&gt;""),IF(S21='Official Results'!X7,'Instructions &amp; Rules'!$K$5,IF(S21='Official Results'!X6,'Instructions &amp; Rules'!$K$6,0)),0)+IF(AND(T21&lt;&gt;"",'Official Results'!X8&lt;&gt;"",'Official Results'!AB8="Yes"),IF(T21='Official Results'!X8,'Instructions &amp; Rules'!$K$7,0),0)+IF(AND(R21='Official Results'!X6,S21='Official Results'!X7,'Official Results'!X6&lt;&gt;"",'Official Results'!X7&lt;&gt;""),'Instructions &amp; Rules'!$K$8,0)+IF(AND(R21='Official Results'!X6,S21='Official Results'!X7,T21='Official Results'!X8,'Official Results'!AB8="Yes"),'Instructions &amp; Rules'!$K$9,0)</f>
        <v>0</v>
      </c>
      <c r="V21" s="69">
        <f>IF(AND(R21&lt;&gt;"",'Official Results'!X6&lt;&gt;"",R21='Official Results'!X6),1,0)+IF(AND(S21&lt;&gt;"",'Official Results'!X7&lt;&gt;"",S21='Official Results'!X7),1,0)+IF(AND(T21&lt;&gt;"",'Official Results'!X8&lt;&gt;"",'Official Results'!AB8="Yes",T21='Official Results'!X8),1,0)</f>
        <v>0</v>
      </c>
      <c r="W21" s="101"/>
      <c r="X21" s="102"/>
      <c r="Y21" s="103"/>
      <c r="Z21" s="68">
        <f>IF(AND(W21&lt;&gt;"",'Official Results'!C13&lt;&gt;""),IF(W21='Official Results'!C13,'Instructions &amp; Rules'!$K$4,IF(W21='Official Results'!C14,'Instructions &amp; Rules'!$K$6,0)),0)+IF(AND(X21&lt;&gt;"",'Official Results'!C14&lt;&gt;""),IF(X21='Official Results'!C14,'Instructions &amp; Rules'!$K$5,IF(X21='Official Results'!C13,'Instructions &amp; Rules'!$K$6,0)),0)+IF(AND(Y21&lt;&gt;"",'Official Results'!C15&lt;&gt;"",'Official Results'!G15="Yes"),IF(Y21='Official Results'!C15,'Instructions &amp; Rules'!$K$7,0),0)+IF(AND(W21='Official Results'!C13,X21='Official Results'!C14,'Official Results'!C13&lt;&gt;"",'Official Results'!C14&lt;&gt;""),'Instructions &amp; Rules'!$K$8,0)+IF(AND(W21='Official Results'!C13,X21='Official Results'!C14,Y21='Official Results'!C15,'Official Results'!G15="Yes"),'Instructions &amp; Rules'!$K$9,0)</f>
        <v>0</v>
      </c>
      <c r="AA21" s="69">
        <f>IF(AND(W21&lt;&gt;"",'Official Results'!C13&lt;&gt;"",W21='Official Results'!C13),1,0)+IF(AND(X21&lt;&gt;"",'Official Results'!C14&lt;&gt;"",X21='Official Results'!C14),1,0)+IF(AND(Y21&lt;&gt;"",'Official Results'!C15&lt;&gt;"",'Official Results'!G15="Yes",Y21='Official Results'!C15),1,0)</f>
        <v>0</v>
      </c>
      <c r="AB21" s="101"/>
      <c r="AC21" s="102"/>
      <c r="AD21" s="103"/>
      <c r="AE21" s="68">
        <f>IF(AND(AB21&lt;&gt;"",'Official Results'!J13&lt;&gt;""),IF(AB21='Official Results'!J13,'Instructions &amp; Rules'!$K$4,IF(AB21='Official Results'!J14,'Instructions &amp; Rules'!$K$6,0)),0)+IF(AND(AC21&lt;&gt;"",'Official Results'!J14&lt;&gt;""),IF(AC21='Official Results'!J14,'Instructions &amp; Rules'!$K$5,IF(AC21='Official Results'!J13,'Instructions &amp; Rules'!$K$6,0)),0)+IF(AND(AD21&lt;&gt;"",'Official Results'!J15&lt;&gt;"",'Official Results'!N15="Yes"),IF(AD21='Official Results'!J15,'Instructions &amp; Rules'!$K$7,0),0)+IF(AND(AB21='Official Results'!J13,AC21='Official Results'!J14,'Official Results'!J13&lt;&gt;"",'Official Results'!J14&lt;&gt;""),'Instructions &amp; Rules'!$K$8,0)+IF(AND(AB21='Official Results'!J13,AC21='Official Results'!J14,AD21='Official Results'!J15,'Official Results'!N15="Yes"),'Instructions &amp; Rules'!$K$9,0)</f>
        <v>0</v>
      </c>
      <c r="AF21" s="69">
        <f>IF(AND(AB21&lt;&gt;"",'Official Results'!J13&lt;&gt;"",AB21='Official Results'!J13),1,0)+IF(AND(AC21&lt;&gt;"",'Official Results'!J14&lt;&gt;"",AC21='Official Results'!J14),1,0)+IF(AND(AD21&lt;&gt;"",'Official Results'!J15&lt;&gt;"",'Official Results'!N15="Yes",AD21='Official Results'!J15),1,0)</f>
        <v>0</v>
      </c>
      <c r="AG21" s="101"/>
      <c r="AH21" s="102"/>
      <c r="AI21" s="103"/>
      <c r="AJ21" s="68">
        <f>IF(AND(AG21&lt;&gt;"",'Official Results'!Q13&lt;&gt;""),IF(AG21='Official Results'!Q13,'Instructions &amp; Rules'!$K$4,IF(AG21='Official Results'!Q14,'Instructions &amp; Rules'!$K$6,0)),0)+IF(AND(AH21&lt;&gt;"",'Official Results'!Q14&lt;&gt;""),IF(AH21='Official Results'!Q14,'Instructions &amp; Rules'!$K$5,IF(AH21='Official Results'!Q13,'Instructions &amp; Rules'!$K$6,0)),0)+IF(AND(AI21&lt;&gt;"",'Official Results'!Q15&lt;&gt;"",'Official Results'!U15="Yes"),IF(AI21='Official Results'!Q15,'Instructions &amp; Rules'!$K$7,0),0)+IF(AND(AG21='Official Results'!Q13,AH21='Official Results'!Q14,'Official Results'!Q13&lt;&gt;"",'Official Results'!Q14&lt;&gt;""),'Instructions &amp; Rules'!$K$8,0)+IF(AND(AG21='Official Results'!Q13,AH21='Official Results'!Q14,AI21='Official Results'!Q15,'Official Results'!U15="Yes"),'Instructions &amp; Rules'!$K$9,0)</f>
        <v>0</v>
      </c>
      <c r="AK21" s="69">
        <f>IF(AND(AG21&lt;&gt;"",'Official Results'!Q13&lt;&gt;"",AG21='Official Results'!Q13),1,0)+IF(AND(AH21&lt;&gt;"",'Official Results'!Q14&lt;&gt;"",AH21='Official Results'!Q14),1,0)+IF(AND(AI21&lt;&gt;"",'Official Results'!Q15&lt;&gt;"",'Official Results'!U15="Yes",AI21='Official Results'!Q15),1,0)</f>
        <v>0</v>
      </c>
      <c r="AL21" s="101"/>
      <c r="AM21" s="102"/>
      <c r="AN21" s="103"/>
      <c r="AO21" s="68">
        <f>IF(AND(AL21&lt;&gt;"",'Official Results'!X13&lt;&gt;""),IF(AL21='Official Results'!X13,'Instructions &amp; Rules'!$K$4,IF(AL21='Official Results'!X14,'Instructions &amp; Rules'!$K$6,0)),0)+IF(AND(AM21&lt;&gt;"",'Official Results'!X14&lt;&gt;""),IF(AM21='Official Results'!X14,'Instructions &amp; Rules'!$K$5,IF(AM21='Official Results'!X13,'Instructions &amp; Rules'!$K$6,0)),0)+IF(AND(AN21&lt;&gt;"",'Official Results'!X15&lt;&gt;"",'Official Results'!AB15="Yes"),IF(AN21='Official Results'!X15,'Instructions &amp; Rules'!$K$7,0),0)+IF(AND(AL21='Official Results'!X13,AM21='Official Results'!X14,'Official Results'!X13&lt;&gt;"",'Official Results'!X14&lt;&gt;""),'Instructions &amp; Rules'!$K$8,0)+IF(AND(AL21='Official Results'!X13,AM21='Official Results'!X14,AN21='Official Results'!X15,'Official Results'!AB15="Yes"),'Instructions &amp; Rules'!$K$9,0)</f>
        <v>0</v>
      </c>
      <c r="AP21" s="69">
        <f>IF(AND(AL21&lt;&gt;"",'Official Results'!X13&lt;&gt;"",AL21='Official Results'!X13),1,0)+IF(AND(AM21&lt;&gt;"",'Official Results'!X14&lt;&gt;"",AM21='Official Results'!X14),1,0)+IF(AND(AN21&lt;&gt;"",'Official Results'!X15&lt;&gt;"",'Official Results'!AB15="Yes",AN21='Official Results'!X15),1,0)</f>
        <v>0</v>
      </c>
      <c r="AQ21" s="101"/>
      <c r="AR21" s="102"/>
      <c r="AS21" s="103"/>
      <c r="AT21" s="68">
        <f>IF(AND(AQ21&lt;&gt;"",'Official Results'!C20&lt;&gt;""),IF(AQ21='Official Results'!C20,'Instructions &amp; Rules'!$K$4,IF(AQ21='Official Results'!C21,'Instructions &amp; Rules'!$K$6,0)),0)+IF(AND(AR21&lt;&gt;"",'Official Results'!C21&lt;&gt;""),IF(AR21='Official Results'!C21,'Instructions &amp; Rules'!$K$5,IF(AR21='Official Results'!C20,'Instructions &amp; Rules'!$K$6,0)),0)+IF(AND(AS21&lt;&gt;"",'Official Results'!C22&lt;&gt;"",'Official Results'!G22="Yes"),IF(AS21='Official Results'!C22,'Instructions &amp; Rules'!$K$7,0),0)+IF(AND(AQ21='Official Results'!C20,AR21='Official Results'!C21,'Official Results'!C20&lt;&gt;"",'Official Results'!C21&lt;&gt;""),'Instructions &amp; Rules'!$K$8,0)+IF(AND(AQ21='Official Results'!C20,AR21='Official Results'!C21,AS21='Official Results'!C22,'Official Results'!G22="Yes"),'Instructions &amp; Rules'!$K$9,0)</f>
        <v>0</v>
      </c>
      <c r="AU21" s="69">
        <f>IF(AND(AQ21&lt;&gt;"",'Official Results'!C20&lt;&gt;"",AQ21='Official Results'!C20),1,0)+IF(AND(AR21&lt;&gt;"",'Official Results'!C21&lt;&gt;"",AR21='Official Results'!C21),1,0)+IF(AND(AS21&lt;&gt;"",'Official Results'!C22&lt;&gt;"",'Official Results'!G22="Yes",AS21='Official Results'!C22),1,0)</f>
        <v>0</v>
      </c>
      <c r="AV21" s="101"/>
      <c r="AW21" s="102"/>
      <c r="AX21" s="103"/>
      <c r="AY21" s="68">
        <f>IF(AND(AV21&lt;&gt;"",'Official Results'!J20&lt;&gt;""),IF(AV21='Official Results'!J20,'Instructions &amp; Rules'!$K$4,IF(AV21='Official Results'!J21,'Instructions &amp; Rules'!$K$6,0)),0)+IF(AND(AW21&lt;&gt;"",'Official Results'!J21&lt;&gt;""),IF(AW21='Official Results'!J21,'Instructions &amp; Rules'!$K$5,IF(AW21='Official Results'!J20,'Instructions &amp; Rules'!$K$6,0)),0)+IF(AND(AX21&lt;&gt;"",'Official Results'!J22&lt;&gt;"",'Official Results'!N22="Yes"),IF(AX21='Official Results'!J22,'Instructions &amp; Rules'!$K$7,0),0)+IF(AND(AV21='Official Results'!J20,AW21='Official Results'!J21,'Official Results'!J20&lt;&gt;"",'Official Results'!J21&lt;&gt;""),'Instructions &amp; Rules'!$K$8,0)+IF(AND(AV21='Official Results'!J20,AW21='Official Results'!J21,AX21='Official Results'!J22,'Official Results'!N22="Yes"),'Instructions &amp; Rules'!$K$9,0)</f>
        <v>0</v>
      </c>
      <c r="AZ21" s="69">
        <f>IF(AND(AV21&lt;&gt;"",'Official Results'!J20&lt;&gt;"",AV21='Official Results'!J20),1,0)+IF(AND(AW21&lt;&gt;"",'Official Results'!J21&lt;&gt;"",AW21='Official Results'!J21),1,0)+IF(AND(AX21&lt;&gt;"",'Official Results'!J22&lt;&gt;"",'Official Results'!N22="Yes",AX21='Official Results'!J22),1,0)</f>
        <v>0</v>
      </c>
      <c r="BA21" s="101"/>
      <c r="BB21" s="102"/>
      <c r="BC21" s="103"/>
      <c r="BD21" s="68">
        <f>IF(AND(BA21&lt;&gt;"",'Official Results'!Q20&lt;&gt;""),IF(BA21='Official Results'!Q20,'Instructions &amp; Rules'!$K$4,IF(BA21='Official Results'!Q21,'Instructions &amp; Rules'!$K$6,0)),0)+IF(AND(BB21&lt;&gt;"",'Official Results'!Q21&lt;&gt;""),IF(BB21='Official Results'!Q21,'Instructions &amp; Rules'!$K$5,IF(BB21='Official Results'!Q20,'Instructions &amp; Rules'!$K$6,0)),0)+IF(AND(BC21&lt;&gt;"",'Official Results'!Q22&lt;&gt;"",'Official Results'!U22="Yes"),IF(BC21='Official Results'!Q22,'Instructions &amp; Rules'!$K$7,0),0)+IF(AND(BA21='Official Results'!Q20,BB21='Official Results'!Q21,'Official Results'!Q20&lt;&gt;"",'Official Results'!Q21&lt;&gt;""),'Instructions &amp; Rules'!$K$8,0)+IF(AND(BA21='Official Results'!Q20,BB21='Official Results'!Q21,BC21='Official Results'!Q22,'Official Results'!U22="Yes"),'Instructions &amp; Rules'!$K$9,0)</f>
        <v>0</v>
      </c>
      <c r="BE21" s="69">
        <f>IF(AND(BA21&lt;&gt;"",'Official Results'!Q20&lt;&gt;"",BA21='Official Results'!Q20),1,0)+IF(AND(BB21&lt;&gt;"",'Official Results'!Q21&lt;&gt;"",BB21='Official Results'!Q21),1,0)+IF(AND(BC21&lt;&gt;"",'Official Results'!Q22&lt;&gt;"",'Official Results'!U22="Yes",BC21='Official Results'!Q22),1,0)</f>
        <v>0</v>
      </c>
      <c r="BF21" s="101"/>
      <c r="BG21" s="102"/>
      <c r="BH21" s="103"/>
      <c r="BI21" s="68">
        <f>IF(AND(BF21&lt;&gt;"",'Official Results'!X20&lt;&gt;""),IF(BF21='Official Results'!X20,'Instructions &amp; Rules'!$K$4,IF(BF21='Official Results'!X21,'Instructions &amp; Rules'!$K$6,0)),0)+IF(AND(BG21&lt;&gt;"",'Official Results'!X21&lt;&gt;""),IF(BG21='Official Results'!X21,'Instructions &amp; Rules'!$K$5,IF(BG21='Official Results'!X20,'Instructions &amp; Rules'!$K$6,0)),0)+IF(AND(BH21&lt;&gt;"",'Official Results'!X22&lt;&gt;"",'Official Results'!AB22="Yes"),IF(BH21='Official Results'!X22,'Instructions &amp; Rules'!$K$7,0),0)+IF(AND(BF21='Official Results'!X20,BG21='Official Results'!X21,'Official Results'!X20&lt;&gt;"",'Official Results'!X21&lt;&gt;""),'Instructions &amp; Rules'!$K$8,0)+IF(AND(BF21='Official Results'!X20,BG21='Official Results'!X21,BH21='Official Results'!X22,'Official Results'!AB22="Yes"),'Instructions &amp; Rules'!$K$9,0)</f>
        <v>0</v>
      </c>
      <c r="BJ21" s="69">
        <f>IF(AND(BF21&lt;&gt;"",'Official Results'!X20&lt;&gt;"",BF21='Official Results'!X20),1,0)+IF(AND(BG21&lt;&gt;"",'Official Results'!X21&lt;&gt;"",BG21='Official Results'!X21),1,0)+IF(AND(BH21&lt;&gt;"",'Official Results'!X22&lt;&gt;"",'Official Results'!AB22="Yes",BH21='Official Results'!X22),1,0)</f>
        <v>0</v>
      </c>
      <c r="BK21" s="70">
        <f t="shared" si="0"/>
        <v>0</v>
      </c>
      <c r="BL21" s="71">
        <f t="shared" si="1"/>
        <v>0</v>
      </c>
      <c r="BM21" s="72">
        <f t="shared" si="2"/>
        <v>0</v>
      </c>
    </row>
    <row r="22" spans="1:65" ht="15" customHeight="1">
      <c r="A22" s="73" t="str">
        <f>IF(Players!B22="","",Players!B22)</f>
        <v>Player 17</v>
      </c>
      <c r="B22" s="86"/>
      <c r="C22" s="101"/>
      <c r="D22" s="102"/>
      <c r="E22" s="103"/>
      <c r="F22" s="68">
        <f>IF(AND(C22&lt;&gt;"",'Official Results'!C6&lt;&gt;""),IF(C22='Official Results'!C6,'Instructions &amp; Rules'!$K$4,IF(C22='Official Results'!C7,'Instructions &amp; Rules'!$K$6,0)),0)+IF(AND(D22&lt;&gt;"",'Official Results'!C7&lt;&gt;""),IF(D22='Official Results'!C7,'Instructions &amp; Rules'!$K$5,IF(D22='Official Results'!C6,'Instructions &amp; Rules'!$K$6,0)),0)+IF(AND(E22&lt;&gt;"",'Official Results'!C8&lt;&gt;"",'Official Results'!G8="Yes"),IF(E22='Official Results'!C8,'Instructions &amp; Rules'!$K$7,0),0)+IF(AND(C22='Official Results'!C6,D22='Official Results'!C7,'Official Results'!C6&lt;&gt;"",'Official Results'!C7&lt;&gt;""),'Instructions &amp; Rules'!$K$8,0)+IF(AND(C22='Official Results'!C6,D22='Official Results'!C7,E22='Official Results'!C8,'Official Results'!G8="Yes"),'Instructions &amp; Rules'!$K$9,0)</f>
        <v>0</v>
      </c>
      <c r="G22" s="69">
        <f>IF(AND(C22&lt;&gt;"",'Official Results'!C6&lt;&gt;"",C22='Official Results'!C6),1,0)+IF(AND(D22&lt;&gt;"",'Official Results'!C7&lt;&gt;"",D22='Official Results'!C7),1,0)+IF(AND(E22&lt;&gt;"",'Official Results'!C8&lt;&gt;"",'Official Results'!G8="Yes",E22='Official Results'!C8),1,0)</f>
        <v>0</v>
      </c>
      <c r="H22" s="101"/>
      <c r="I22" s="102"/>
      <c r="J22" s="103"/>
      <c r="K22" s="68">
        <f>IF(AND(H22&lt;&gt;"",'Official Results'!J6&lt;&gt;""),IF(H22='Official Results'!J6,'Instructions &amp; Rules'!$K$4,IF(H22='Official Results'!J7,'Instructions &amp; Rules'!$K$6,0)),0)+IF(AND(I22&lt;&gt;"",'Official Results'!J7&lt;&gt;""),IF(I22='Official Results'!J7,'Instructions &amp; Rules'!$K$5,IF(I22='Official Results'!J6,'Instructions &amp; Rules'!$K$6,0)),0)+IF(AND(J22&lt;&gt;"",'Official Results'!J8&lt;&gt;"",'Official Results'!N8="Yes"),IF(J22='Official Results'!J8,'Instructions &amp; Rules'!$K$7,0),0)+IF(AND(H22='Official Results'!J6,I22='Official Results'!J7,'Official Results'!J6&lt;&gt;"",'Official Results'!J7&lt;&gt;""),'Instructions &amp; Rules'!$K$8,0)+IF(AND(H22='Official Results'!J6,I22='Official Results'!J7,J22='Official Results'!J8,'Official Results'!N8="Yes"),'Instructions &amp; Rules'!$K$9,0)</f>
        <v>0</v>
      </c>
      <c r="L22" s="69">
        <f>IF(AND(H22&lt;&gt;"",'Official Results'!J6&lt;&gt;"",H22='Official Results'!J6),1,0)+IF(AND(I22&lt;&gt;"",'Official Results'!J7&lt;&gt;"",I22='Official Results'!J7),1,0)+IF(AND(J22&lt;&gt;"",'Official Results'!J8&lt;&gt;"",'Official Results'!N8="Yes",J22='Official Results'!J8),1,0)</f>
        <v>0</v>
      </c>
      <c r="M22" s="101"/>
      <c r="N22" s="102"/>
      <c r="O22" s="103"/>
      <c r="P22" s="68">
        <f>IF(AND(M22&lt;&gt;"",'Official Results'!Q6&lt;&gt;""),IF(M22='Official Results'!Q6,'Instructions &amp; Rules'!$K$4,IF(M22='Official Results'!Q7,'Instructions &amp; Rules'!$K$6,0)),0)+IF(AND(N22&lt;&gt;"",'Official Results'!Q7&lt;&gt;""),IF(N22='Official Results'!Q7,'Instructions &amp; Rules'!$K$5,IF(N22='Official Results'!Q6,'Instructions &amp; Rules'!$K$6,0)),0)+IF(AND(O22&lt;&gt;"",'Official Results'!Q8&lt;&gt;"",'Official Results'!U8="Yes"),IF(O22='Official Results'!Q8,'Instructions &amp; Rules'!$K$7,0),0)+IF(AND(M22='Official Results'!Q6,N22='Official Results'!Q7,'Official Results'!Q6&lt;&gt;"",'Official Results'!Q7&lt;&gt;""),'Instructions &amp; Rules'!$K$8,0)+IF(AND(M22='Official Results'!Q6,N22='Official Results'!Q7,O22='Official Results'!Q8,'Official Results'!U8="Yes"),'Instructions &amp; Rules'!$K$9,0)</f>
        <v>0</v>
      </c>
      <c r="Q22" s="69">
        <f>IF(AND(M22&lt;&gt;"",'Official Results'!Q6&lt;&gt;"",M22='Official Results'!Q6),1,0)+IF(AND(N22&lt;&gt;"",'Official Results'!Q7&lt;&gt;"",N22='Official Results'!Q7),1,0)+IF(AND(O22&lt;&gt;"",'Official Results'!Q8&lt;&gt;"",'Official Results'!U8="Yes",O22='Official Results'!Q8),1,0)</f>
        <v>0</v>
      </c>
      <c r="R22" s="101"/>
      <c r="S22" s="102"/>
      <c r="T22" s="103"/>
      <c r="U22" s="68">
        <f>IF(AND(R22&lt;&gt;"",'Official Results'!X6&lt;&gt;""),IF(R22='Official Results'!X6,'Instructions &amp; Rules'!$K$4,IF(R22='Official Results'!X7,'Instructions &amp; Rules'!$K$6,0)),0)+IF(AND(S22&lt;&gt;"",'Official Results'!X7&lt;&gt;""),IF(S22='Official Results'!X7,'Instructions &amp; Rules'!$K$5,IF(S22='Official Results'!X6,'Instructions &amp; Rules'!$K$6,0)),0)+IF(AND(T22&lt;&gt;"",'Official Results'!X8&lt;&gt;"",'Official Results'!AB8="Yes"),IF(T22='Official Results'!X8,'Instructions &amp; Rules'!$K$7,0),0)+IF(AND(R22='Official Results'!X6,S22='Official Results'!X7,'Official Results'!X6&lt;&gt;"",'Official Results'!X7&lt;&gt;""),'Instructions &amp; Rules'!$K$8,0)+IF(AND(R22='Official Results'!X6,S22='Official Results'!X7,T22='Official Results'!X8,'Official Results'!AB8="Yes"),'Instructions &amp; Rules'!$K$9,0)</f>
        <v>0</v>
      </c>
      <c r="V22" s="69">
        <f>IF(AND(R22&lt;&gt;"",'Official Results'!X6&lt;&gt;"",R22='Official Results'!X6),1,0)+IF(AND(S22&lt;&gt;"",'Official Results'!X7&lt;&gt;"",S22='Official Results'!X7),1,0)+IF(AND(T22&lt;&gt;"",'Official Results'!X8&lt;&gt;"",'Official Results'!AB8="Yes",T22='Official Results'!X8),1,0)</f>
        <v>0</v>
      </c>
      <c r="W22" s="101"/>
      <c r="X22" s="102"/>
      <c r="Y22" s="103"/>
      <c r="Z22" s="68">
        <f>IF(AND(W22&lt;&gt;"",'Official Results'!C13&lt;&gt;""),IF(W22='Official Results'!C13,'Instructions &amp; Rules'!$K$4,IF(W22='Official Results'!C14,'Instructions &amp; Rules'!$K$6,0)),0)+IF(AND(X22&lt;&gt;"",'Official Results'!C14&lt;&gt;""),IF(X22='Official Results'!C14,'Instructions &amp; Rules'!$K$5,IF(X22='Official Results'!C13,'Instructions &amp; Rules'!$K$6,0)),0)+IF(AND(Y22&lt;&gt;"",'Official Results'!C15&lt;&gt;"",'Official Results'!G15="Yes"),IF(Y22='Official Results'!C15,'Instructions &amp; Rules'!$K$7,0),0)+IF(AND(W22='Official Results'!C13,X22='Official Results'!C14,'Official Results'!C13&lt;&gt;"",'Official Results'!C14&lt;&gt;""),'Instructions &amp; Rules'!$K$8,0)+IF(AND(W22='Official Results'!C13,X22='Official Results'!C14,Y22='Official Results'!C15,'Official Results'!G15="Yes"),'Instructions &amp; Rules'!$K$9,0)</f>
        <v>0</v>
      </c>
      <c r="AA22" s="69">
        <f>IF(AND(W22&lt;&gt;"",'Official Results'!C13&lt;&gt;"",W22='Official Results'!C13),1,0)+IF(AND(X22&lt;&gt;"",'Official Results'!C14&lt;&gt;"",X22='Official Results'!C14),1,0)+IF(AND(Y22&lt;&gt;"",'Official Results'!C15&lt;&gt;"",'Official Results'!G15="Yes",Y22='Official Results'!C15),1,0)</f>
        <v>0</v>
      </c>
      <c r="AB22" s="101"/>
      <c r="AC22" s="102"/>
      <c r="AD22" s="103"/>
      <c r="AE22" s="68">
        <f>IF(AND(AB22&lt;&gt;"",'Official Results'!J13&lt;&gt;""),IF(AB22='Official Results'!J13,'Instructions &amp; Rules'!$K$4,IF(AB22='Official Results'!J14,'Instructions &amp; Rules'!$K$6,0)),0)+IF(AND(AC22&lt;&gt;"",'Official Results'!J14&lt;&gt;""),IF(AC22='Official Results'!J14,'Instructions &amp; Rules'!$K$5,IF(AC22='Official Results'!J13,'Instructions &amp; Rules'!$K$6,0)),0)+IF(AND(AD22&lt;&gt;"",'Official Results'!J15&lt;&gt;"",'Official Results'!N15="Yes"),IF(AD22='Official Results'!J15,'Instructions &amp; Rules'!$K$7,0),0)+IF(AND(AB22='Official Results'!J13,AC22='Official Results'!J14,'Official Results'!J13&lt;&gt;"",'Official Results'!J14&lt;&gt;""),'Instructions &amp; Rules'!$K$8,0)+IF(AND(AB22='Official Results'!J13,AC22='Official Results'!J14,AD22='Official Results'!J15,'Official Results'!N15="Yes"),'Instructions &amp; Rules'!$K$9,0)</f>
        <v>0</v>
      </c>
      <c r="AF22" s="69">
        <f>IF(AND(AB22&lt;&gt;"",'Official Results'!J13&lt;&gt;"",AB22='Official Results'!J13),1,0)+IF(AND(AC22&lt;&gt;"",'Official Results'!J14&lt;&gt;"",AC22='Official Results'!J14),1,0)+IF(AND(AD22&lt;&gt;"",'Official Results'!J15&lt;&gt;"",'Official Results'!N15="Yes",AD22='Official Results'!J15),1,0)</f>
        <v>0</v>
      </c>
      <c r="AG22" s="101"/>
      <c r="AH22" s="102"/>
      <c r="AI22" s="103"/>
      <c r="AJ22" s="68">
        <f>IF(AND(AG22&lt;&gt;"",'Official Results'!Q13&lt;&gt;""),IF(AG22='Official Results'!Q13,'Instructions &amp; Rules'!$K$4,IF(AG22='Official Results'!Q14,'Instructions &amp; Rules'!$K$6,0)),0)+IF(AND(AH22&lt;&gt;"",'Official Results'!Q14&lt;&gt;""),IF(AH22='Official Results'!Q14,'Instructions &amp; Rules'!$K$5,IF(AH22='Official Results'!Q13,'Instructions &amp; Rules'!$K$6,0)),0)+IF(AND(AI22&lt;&gt;"",'Official Results'!Q15&lt;&gt;"",'Official Results'!U15="Yes"),IF(AI22='Official Results'!Q15,'Instructions &amp; Rules'!$K$7,0),0)+IF(AND(AG22='Official Results'!Q13,AH22='Official Results'!Q14,'Official Results'!Q13&lt;&gt;"",'Official Results'!Q14&lt;&gt;""),'Instructions &amp; Rules'!$K$8,0)+IF(AND(AG22='Official Results'!Q13,AH22='Official Results'!Q14,AI22='Official Results'!Q15,'Official Results'!U15="Yes"),'Instructions &amp; Rules'!$K$9,0)</f>
        <v>0</v>
      </c>
      <c r="AK22" s="69">
        <f>IF(AND(AG22&lt;&gt;"",'Official Results'!Q13&lt;&gt;"",AG22='Official Results'!Q13),1,0)+IF(AND(AH22&lt;&gt;"",'Official Results'!Q14&lt;&gt;"",AH22='Official Results'!Q14),1,0)+IF(AND(AI22&lt;&gt;"",'Official Results'!Q15&lt;&gt;"",'Official Results'!U15="Yes",AI22='Official Results'!Q15),1,0)</f>
        <v>0</v>
      </c>
      <c r="AL22" s="101"/>
      <c r="AM22" s="102"/>
      <c r="AN22" s="103"/>
      <c r="AO22" s="68">
        <f>IF(AND(AL22&lt;&gt;"",'Official Results'!X13&lt;&gt;""),IF(AL22='Official Results'!X13,'Instructions &amp; Rules'!$K$4,IF(AL22='Official Results'!X14,'Instructions &amp; Rules'!$K$6,0)),0)+IF(AND(AM22&lt;&gt;"",'Official Results'!X14&lt;&gt;""),IF(AM22='Official Results'!X14,'Instructions &amp; Rules'!$K$5,IF(AM22='Official Results'!X13,'Instructions &amp; Rules'!$K$6,0)),0)+IF(AND(AN22&lt;&gt;"",'Official Results'!X15&lt;&gt;"",'Official Results'!AB15="Yes"),IF(AN22='Official Results'!X15,'Instructions &amp; Rules'!$K$7,0),0)+IF(AND(AL22='Official Results'!X13,AM22='Official Results'!X14,'Official Results'!X13&lt;&gt;"",'Official Results'!X14&lt;&gt;""),'Instructions &amp; Rules'!$K$8,0)+IF(AND(AL22='Official Results'!X13,AM22='Official Results'!X14,AN22='Official Results'!X15,'Official Results'!AB15="Yes"),'Instructions &amp; Rules'!$K$9,0)</f>
        <v>0</v>
      </c>
      <c r="AP22" s="69">
        <f>IF(AND(AL22&lt;&gt;"",'Official Results'!X13&lt;&gt;"",AL22='Official Results'!X13),1,0)+IF(AND(AM22&lt;&gt;"",'Official Results'!X14&lt;&gt;"",AM22='Official Results'!X14),1,0)+IF(AND(AN22&lt;&gt;"",'Official Results'!X15&lt;&gt;"",'Official Results'!AB15="Yes",AN22='Official Results'!X15),1,0)</f>
        <v>0</v>
      </c>
      <c r="AQ22" s="101"/>
      <c r="AR22" s="102"/>
      <c r="AS22" s="103"/>
      <c r="AT22" s="68">
        <f>IF(AND(AQ22&lt;&gt;"",'Official Results'!C20&lt;&gt;""),IF(AQ22='Official Results'!C20,'Instructions &amp; Rules'!$K$4,IF(AQ22='Official Results'!C21,'Instructions &amp; Rules'!$K$6,0)),0)+IF(AND(AR22&lt;&gt;"",'Official Results'!C21&lt;&gt;""),IF(AR22='Official Results'!C21,'Instructions &amp; Rules'!$K$5,IF(AR22='Official Results'!C20,'Instructions &amp; Rules'!$K$6,0)),0)+IF(AND(AS22&lt;&gt;"",'Official Results'!C22&lt;&gt;"",'Official Results'!G22="Yes"),IF(AS22='Official Results'!C22,'Instructions &amp; Rules'!$K$7,0),0)+IF(AND(AQ22='Official Results'!C20,AR22='Official Results'!C21,'Official Results'!C20&lt;&gt;"",'Official Results'!C21&lt;&gt;""),'Instructions &amp; Rules'!$K$8,0)+IF(AND(AQ22='Official Results'!C20,AR22='Official Results'!C21,AS22='Official Results'!C22,'Official Results'!G22="Yes"),'Instructions &amp; Rules'!$K$9,0)</f>
        <v>0</v>
      </c>
      <c r="AU22" s="69">
        <f>IF(AND(AQ22&lt;&gt;"",'Official Results'!C20&lt;&gt;"",AQ22='Official Results'!C20),1,0)+IF(AND(AR22&lt;&gt;"",'Official Results'!C21&lt;&gt;"",AR22='Official Results'!C21),1,0)+IF(AND(AS22&lt;&gt;"",'Official Results'!C22&lt;&gt;"",'Official Results'!G22="Yes",AS22='Official Results'!C22),1,0)</f>
        <v>0</v>
      </c>
      <c r="AV22" s="101"/>
      <c r="AW22" s="102"/>
      <c r="AX22" s="103"/>
      <c r="AY22" s="68">
        <f>IF(AND(AV22&lt;&gt;"",'Official Results'!J20&lt;&gt;""),IF(AV22='Official Results'!J20,'Instructions &amp; Rules'!$K$4,IF(AV22='Official Results'!J21,'Instructions &amp; Rules'!$K$6,0)),0)+IF(AND(AW22&lt;&gt;"",'Official Results'!J21&lt;&gt;""),IF(AW22='Official Results'!J21,'Instructions &amp; Rules'!$K$5,IF(AW22='Official Results'!J20,'Instructions &amp; Rules'!$K$6,0)),0)+IF(AND(AX22&lt;&gt;"",'Official Results'!J22&lt;&gt;"",'Official Results'!N22="Yes"),IF(AX22='Official Results'!J22,'Instructions &amp; Rules'!$K$7,0),0)+IF(AND(AV22='Official Results'!J20,AW22='Official Results'!J21,'Official Results'!J20&lt;&gt;"",'Official Results'!J21&lt;&gt;""),'Instructions &amp; Rules'!$K$8,0)+IF(AND(AV22='Official Results'!J20,AW22='Official Results'!J21,AX22='Official Results'!J22,'Official Results'!N22="Yes"),'Instructions &amp; Rules'!$K$9,0)</f>
        <v>0</v>
      </c>
      <c r="AZ22" s="69">
        <f>IF(AND(AV22&lt;&gt;"",'Official Results'!J20&lt;&gt;"",AV22='Official Results'!J20),1,0)+IF(AND(AW22&lt;&gt;"",'Official Results'!J21&lt;&gt;"",AW22='Official Results'!J21),1,0)+IF(AND(AX22&lt;&gt;"",'Official Results'!J22&lt;&gt;"",'Official Results'!N22="Yes",AX22='Official Results'!J22),1,0)</f>
        <v>0</v>
      </c>
      <c r="BA22" s="101"/>
      <c r="BB22" s="102"/>
      <c r="BC22" s="103"/>
      <c r="BD22" s="68">
        <f>IF(AND(BA22&lt;&gt;"",'Official Results'!Q20&lt;&gt;""),IF(BA22='Official Results'!Q20,'Instructions &amp; Rules'!$K$4,IF(BA22='Official Results'!Q21,'Instructions &amp; Rules'!$K$6,0)),0)+IF(AND(BB22&lt;&gt;"",'Official Results'!Q21&lt;&gt;""),IF(BB22='Official Results'!Q21,'Instructions &amp; Rules'!$K$5,IF(BB22='Official Results'!Q20,'Instructions &amp; Rules'!$K$6,0)),0)+IF(AND(BC22&lt;&gt;"",'Official Results'!Q22&lt;&gt;"",'Official Results'!U22="Yes"),IF(BC22='Official Results'!Q22,'Instructions &amp; Rules'!$K$7,0),0)+IF(AND(BA22='Official Results'!Q20,BB22='Official Results'!Q21,'Official Results'!Q20&lt;&gt;"",'Official Results'!Q21&lt;&gt;""),'Instructions &amp; Rules'!$K$8,0)+IF(AND(BA22='Official Results'!Q20,BB22='Official Results'!Q21,BC22='Official Results'!Q22,'Official Results'!U22="Yes"),'Instructions &amp; Rules'!$K$9,0)</f>
        <v>0</v>
      </c>
      <c r="BE22" s="69">
        <f>IF(AND(BA22&lt;&gt;"",'Official Results'!Q20&lt;&gt;"",BA22='Official Results'!Q20),1,0)+IF(AND(BB22&lt;&gt;"",'Official Results'!Q21&lt;&gt;"",BB22='Official Results'!Q21),1,0)+IF(AND(BC22&lt;&gt;"",'Official Results'!Q22&lt;&gt;"",'Official Results'!U22="Yes",BC22='Official Results'!Q22),1,0)</f>
        <v>0</v>
      </c>
      <c r="BF22" s="101"/>
      <c r="BG22" s="102"/>
      <c r="BH22" s="103"/>
      <c r="BI22" s="68">
        <f>IF(AND(BF22&lt;&gt;"",'Official Results'!X20&lt;&gt;""),IF(BF22='Official Results'!X20,'Instructions &amp; Rules'!$K$4,IF(BF22='Official Results'!X21,'Instructions &amp; Rules'!$K$6,0)),0)+IF(AND(BG22&lt;&gt;"",'Official Results'!X21&lt;&gt;""),IF(BG22='Official Results'!X21,'Instructions &amp; Rules'!$K$5,IF(BG22='Official Results'!X20,'Instructions &amp; Rules'!$K$6,0)),0)+IF(AND(BH22&lt;&gt;"",'Official Results'!X22&lt;&gt;"",'Official Results'!AB22="Yes"),IF(BH22='Official Results'!X22,'Instructions &amp; Rules'!$K$7,0),0)+IF(AND(BF22='Official Results'!X20,BG22='Official Results'!X21,'Official Results'!X20&lt;&gt;"",'Official Results'!X21&lt;&gt;""),'Instructions &amp; Rules'!$K$8,0)+IF(AND(BF22='Official Results'!X20,BG22='Official Results'!X21,BH22='Official Results'!X22,'Official Results'!AB22="Yes"),'Instructions &amp; Rules'!$K$9,0)</f>
        <v>0</v>
      </c>
      <c r="BJ22" s="69">
        <f>IF(AND(BF22&lt;&gt;"",'Official Results'!X20&lt;&gt;"",BF22='Official Results'!X20),1,0)+IF(AND(BG22&lt;&gt;"",'Official Results'!X21&lt;&gt;"",BG22='Official Results'!X21),1,0)+IF(AND(BH22&lt;&gt;"",'Official Results'!X22&lt;&gt;"",'Official Results'!AB22="Yes",BH22='Official Results'!X22),1,0)</f>
        <v>0</v>
      </c>
      <c r="BK22" s="70">
        <f t="shared" si="0"/>
        <v>0</v>
      </c>
      <c r="BL22" s="71">
        <f t="shared" si="1"/>
        <v>0</v>
      </c>
      <c r="BM22" s="72">
        <f t="shared" si="2"/>
        <v>0</v>
      </c>
    </row>
    <row r="23" spans="1:65" ht="15" customHeight="1">
      <c r="A23" s="73" t="str">
        <f>IF(Players!B23="","",Players!B23)</f>
        <v>Player 18</v>
      </c>
      <c r="B23" s="86"/>
      <c r="C23" s="101"/>
      <c r="D23" s="102"/>
      <c r="E23" s="103"/>
      <c r="F23" s="68">
        <f>IF(AND(C23&lt;&gt;"",'Official Results'!C6&lt;&gt;""),IF(C23='Official Results'!C6,'Instructions &amp; Rules'!$K$4,IF(C23='Official Results'!C7,'Instructions &amp; Rules'!$K$6,0)),0)+IF(AND(D23&lt;&gt;"",'Official Results'!C7&lt;&gt;""),IF(D23='Official Results'!C7,'Instructions &amp; Rules'!$K$5,IF(D23='Official Results'!C6,'Instructions &amp; Rules'!$K$6,0)),0)+IF(AND(E23&lt;&gt;"",'Official Results'!C8&lt;&gt;"",'Official Results'!G8="Yes"),IF(E23='Official Results'!C8,'Instructions &amp; Rules'!$K$7,0),0)+IF(AND(C23='Official Results'!C6,D23='Official Results'!C7,'Official Results'!C6&lt;&gt;"",'Official Results'!C7&lt;&gt;""),'Instructions &amp; Rules'!$K$8,0)+IF(AND(C23='Official Results'!C6,D23='Official Results'!C7,E23='Official Results'!C8,'Official Results'!G8="Yes"),'Instructions &amp; Rules'!$K$9,0)</f>
        <v>0</v>
      </c>
      <c r="G23" s="69">
        <f>IF(AND(C23&lt;&gt;"",'Official Results'!C6&lt;&gt;"",C23='Official Results'!C6),1,0)+IF(AND(D23&lt;&gt;"",'Official Results'!C7&lt;&gt;"",D23='Official Results'!C7),1,0)+IF(AND(E23&lt;&gt;"",'Official Results'!C8&lt;&gt;"",'Official Results'!G8="Yes",E23='Official Results'!C8),1,0)</f>
        <v>0</v>
      </c>
      <c r="H23" s="101"/>
      <c r="I23" s="102"/>
      <c r="J23" s="103"/>
      <c r="K23" s="68">
        <f>IF(AND(H23&lt;&gt;"",'Official Results'!J6&lt;&gt;""),IF(H23='Official Results'!J6,'Instructions &amp; Rules'!$K$4,IF(H23='Official Results'!J7,'Instructions &amp; Rules'!$K$6,0)),0)+IF(AND(I23&lt;&gt;"",'Official Results'!J7&lt;&gt;""),IF(I23='Official Results'!J7,'Instructions &amp; Rules'!$K$5,IF(I23='Official Results'!J6,'Instructions &amp; Rules'!$K$6,0)),0)+IF(AND(J23&lt;&gt;"",'Official Results'!J8&lt;&gt;"",'Official Results'!N8="Yes"),IF(J23='Official Results'!J8,'Instructions &amp; Rules'!$K$7,0),0)+IF(AND(H23='Official Results'!J6,I23='Official Results'!J7,'Official Results'!J6&lt;&gt;"",'Official Results'!J7&lt;&gt;""),'Instructions &amp; Rules'!$K$8,0)+IF(AND(H23='Official Results'!J6,I23='Official Results'!J7,J23='Official Results'!J8,'Official Results'!N8="Yes"),'Instructions &amp; Rules'!$K$9,0)</f>
        <v>0</v>
      </c>
      <c r="L23" s="69">
        <f>IF(AND(H23&lt;&gt;"",'Official Results'!J6&lt;&gt;"",H23='Official Results'!J6),1,0)+IF(AND(I23&lt;&gt;"",'Official Results'!J7&lt;&gt;"",I23='Official Results'!J7),1,0)+IF(AND(J23&lt;&gt;"",'Official Results'!J8&lt;&gt;"",'Official Results'!N8="Yes",J23='Official Results'!J8),1,0)</f>
        <v>0</v>
      </c>
      <c r="M23" s="101"/>
      <c r="N23" s="102"/>
      <c r="O23" s="103"/>
      <c r="P23" s="68">
        <f>IF(AND(M23&lt;&gt;"",'Official Results'!Q6&lt;&gt;""),IF(M23='Official Results'!Q6,'Instructions &amp; Rules'!$K$4,IF(M23='Official Results'!Q7,'Instructions &amp; Rules'!$K$6,0)),0)+IF(AND(N23&lt;&gt;"",'Official Results'!Q7&lt;&gt;""),IF(N23='Official Results'!Q7,'Instructions &amp; Rules'!$K$5,IF(N23='Official Results'!Q6,'Instructions &amp; Rules'!$K$6,0)),0)+IF(AND(O23&lt;&gt;"",'Official Results'!Q8&lt;&gt;"",'Official Results'!U8="Yes"),IF(O23='Official Results'!Q8,'Instructions &amp; Rules'!$K$7,0),0)+IF(AND(M23='Official Results'!Q6,N23='Official Results'!Q7,'Official Results'!Q6&lt;&gt;"",'Official Results'!Q7&lt;&gt;""),'Instructions &amp; Rules'!$K$8,0)+IF(AND(M23='Official Results'!Q6,N23='Official Results'!Q7,O23='Official Results'!Q8,'Official Results'!U8="Yes"),'Instructions &amp; Rules'!$K$9,0)</f>
        <v>0</v>
      </c>
      <c r="Q23" s="69">
        <f>IF(AND(M23&lt;&gt;"",'Official Results'!Q6&lt;&gt;"",M23='Official Results'!Q6),1,0)+IF(AND(N23&lt;&gt;"",'Official Results'!Q7&lt;&gt;"",N23='Official Results'!Q7),1,0)+IF(AND(O23&lt;&gt;"",'Official Results'!Q8&lt;&gt;"",'Official Results'!U8="Yes",O23='Official Results'!Q8),1,0)</f>
        <v>0</v>
      </c>
      <c r="R23" s="101"/>
      <c r="S23" s="102"/>
      <c r="T23" s="103"/>
      <c r="U23" s="68">
        <f>IF(AND(R23&lt;&gt;"",'Official Results'!X6&lt;&gt;""),IF(R23='Official Results'!X6,'Instructions &amp; Rules'!$K$4,IF(R23='Official Results'!X7,'Instructions &amp; Rules'!$K$6,0)),0)+IF(AND(S23&lt;&gt;"",'Official Results'!X7&lt;&gt;""),IF(S23='Official Results'!X7,'Instructions &amp; Rules'!$K$5,IF(S23='Official Results'!X6,'Instructions &amp; Rules'!$K$6,0)),0)+IF(AND(T23&lt;&gt;"",'Official Results'!X8&lt;&gt;"",'Official Results'!AB8="Yes"),IF(T23='Official Results'!X8,'Instructions &amp; Rules'!$K$7,0),0)+IF(AND(R23='Official Results'!X6,S23='Official Results'!X7,'Official Results'!X6&lt;&gt;"",'Official Results'!X7&lt;&gt;""),'Instructions &amp; Rules'!$K$8,0)+IF(AND(R23='Official Results'!X6,S23='Official Results'!X7,T23='Official Results'!X8,'Official Results'!AB8="Yes"),'Instructions &amp; Rules'!$K$9,0)</f>
        <v>0</v>
      </c>
      <c r="V23" s="69">
        <f>IF(AND(R23&lt;&gt;"",'Official Results'!X6&lt;&gt;"",R23='Official Results'!X6),1,0)+IF(AND(S23&lt;&gt;"",'Official Results'!X7&lt;&gt;"",S23='Official Results'!X7),1,0)+IF(AND(T23&lt;&gt;"",'Official Results'!X8&lt;&gt;"",'Official Results'!AB8="Yes",T23='Official Results'!X8),1,0)</f>
        <v>0</v>
      </c>
      <c r="W23" s="101"/>
      <c r="X23" s="102"/>
      <c r="Y23" s="103"/>
      <c r="Z23" s="68">
        <f>IF(AND(W23&lt;&gt;"",'Official Results'!C13&lt;&gt;""),IF(W23='Official Results'!C13,'Instructions &amp; Rules'!$K$4,IF(W23='Official Results'!C14,'Instructions &amp; Rules'!$K$6,0)),0)+IF(AND(X23&lt;&gt;"",'Official Results'!C14&lt;&gt;""),IF(X23='Official Results'!C14,'Instructions &amp; Rules'!$K$5,IF(X23='Official Results'!C13,'Instructions &amp; Rules'!$K$6,0)),0)+IF(AND(Y23&lt;&gt;"",'Official Results'!C15&lt;&gt;"",'Official Results'!G15="Yes"),IF(Y23='Official Results'!C15,'Instructions &amp; Rules'!$K$7,0),0)+IF(AND(W23='Official Results'!C13,X23='Official Results'!C14,'Official Results'!C13&lt;&gt;"",'Official Results'!C14&lt;&gt;""),'Instructions &amp; Rules'!$K$8,0)+IF(AND(W23='Official Results'!C13,X23='Official Results'!C14,Y23='Official Results'!C15,'Official Results'!G15="Yes"),'Instructions &amp; Rules'!$K$9,0)</f>
        <v>0</v>
      </c>
      <c r="AA23" s="69">
        <f>IF(AND(W23&lt;&gt;"",'Official Results'!C13&lt;&gt;"",W23='Official Results'!C13),1,0)+IF(AND(X23&lt;&gt;"",'Official Results'!C14&lt;&gt;"",X23='Official Results'!C14),1,0)+IF(AND(Y23&lt;&gt;"",'Official Results'!C15&lt;&gt;"",'Official Results'!G15="Yes",Y23='Official Results'!C15),1,0)</f>
        <v>0</v>
      </c>
      <c r="AB23" s="101"/>
      <c r="AC23" s="102"/>
      <c r="AD23" s="103"/>
      <c r="AE23" s="68">
        <f>IF(AND(AB23&lt;&gt;"",'Official Results'!J13&lt;&gt;""),IF(AB23='Official Results'!J13,'Instructions &amp; Rules'!$K$4,IF(AB23='Official Results'!J14,'Instructions &amp; Rules'!$K$6,0)),0)+IF(AND(AC23&lt;&gt;"",'Official Results'!J14&lt;&gt;""),IF(AC23='Official Results'!J14,'Instructions &amp; Rules'!$K$5,IF(AC23='Official Results'!J13,'Instructions &amp; Rules'!$K$6,0)),0)+IF(AND(AD23&lt;&gt;"",'Official Results'!J15&lt;&gt;"",'Official Results'!N15="Yes"),IF(AD23='Official Results'!J15,'Instructions &amp; Rules'!$K$7,0),0)+IF(AND(AB23='Official Results'!J13,AC23='Official Results'!J14,'Official Results'!J13&lt;&gt;"",'Official Results'!J14&lt;&gt;""),'Instructions &amp; Rules'!$K$8,0)+IF(AND(AB23='Official Results'!J13,AC23='Official Results'!J14,AD23='Official Results'!J15,'Official Results'!N15="Yes"),'Instructions &amp; Rules'!$K$9,0)</f>
        <v>0</v>
      </c>
      <c r="AF23" s="69">
        <f>IF(AND(AB23&lt;&gt;"",'Official Results'!J13&lt;&gt;"",AB23='Official Results'!J13),1,0)+IF(AND(AC23&lt;&gt;"",'Official Results'!J14&lt;&gt;"",AC23='Official Results'!J14),1,0)+IF(AND(AD23&lt;&gt;"",'Official Results'!J15&lt;&gt;"",'Official Results'!N15="Yes",AD23='Official Results'!J15),1,0)</f>
        <v>0</v>
      </c>
      <c r="AG23" s="101"/>
      <c r="AH23" s="102"/>
      <c r="AI23" s="103"/>
      <c r="AJ23" s="68">
        <f>IF(AND(AG23&lt;&gt;"",'Official Results'!Q13&lt;&gt;""),IF(AG23='Official Results'!Q13,'Instructions &amp; Rules'!$K$4,IF(AG23='Official Results'!Q14,'Instructions &amp; Rules'!$K$6,0)),0)+IF(AND(AH23&lt;&gt;"",'Official Results'!Q14&lt;&gt;""),IF(AH23='Official Results'!Q14,'Instructions &amp; Rules'!$K$5,IF(AH23='Official Results'!Q13,'Instructions &amp; Rules'!$K$6,0)),0)+IF(AND(AI23&lt;&gt;"",'Official Results'!Q15&lt;&gt;"",'Official Results'!U15="Yes"),IF(AI23='Official Results'!Q15,'Instructions &amp; Rules'!$K$7,0),0)+IF(AND(AG23='Official Results'!Q13,AH23='Official Results'!Q14,'Official Results'!Q13&lt;&gt;"",'Official Results'!Q14&lt;&gt;""),'Instructions &amp; Rules'!$K$8,0)+IF(AND(AG23='Official Results'!Q13,AH23='Official Results'!Q14,AI23='Official Results'!Q15,'Official Results'!U15="Yes"),'Instructions &amp; Rules'!$K$9,0)</f>
        <v>0</v>
      </c>
      <c r="AK23" s="69">
        <f>IF(AND(AG23&lt;&gt;"",'Official Results'!Q13&lt;&gt;"",AG23='Official Results'!Q13),1,0)+IF(AND(AH23&lt;&gt;"",'Official Results'!Q14&lt;&gt;"",AH23='Official Results'!Q14),1,0)+IF(AND(AI23&lt;&gt;"",'Official Results'!Q15&lt;&gt;"",'Official Results'!U15="Yes",AI23='Official Results'!Q15),1,0)</f>
        <v>0</v>
      </c>
      <c r="AL23" s="101"/>
      <c r="AM23" s="102"/>
      <c r="AN23" s="103"/>
      <c r="AO23" s="68">
        <f>IF(AND(AL23&lt;&gt;"",'Official Results'!X13&lt;&gt;""),IF(AL23='Official Results'!X13,'Instructions &amp; Rules'!$K$4,IF(AL23='Official Results'!X14,'Instructions &amp; Rules'!$K$6,0)),0)+IF(AND(AM23&lt;&gt;"",'Official Results'!X14&lt;&gt;""),IF(AM23='Official Results'!X14,'Instructions &amp; Rules'!$K$5,IF(AM23='Official Results'!X13,'Instructions &amp; Rules'!$K$6,0)),0)+IF(AND(AN23&lt;&gt;"",'Official Results'!X15&lt;&gt;"",'Official Results'!AB15="Yes"),IF(AN23='Official Results'!X15,'Instructions &amp; Rules'!$K$7,0),0)+IF(AND(AL23='Official Results'!X13,AM23='Official Results'!X14,'Official Results'!X13&lt;&gt;"",'Official Results'!X14&lt;&gt;""),'Instructions &amp; Rules'!$K$8,0)+IF(AND(AL23='Official Results'!X13,AM23='Official Results'!X14,AN23='Official Results'!X15,'Official Results'!AB15="Yes"),'Instructions &amp; Rules'!$K$9,0)</f>
        <v>0</v>
      </c>
      <c r="AP23" s="69">
        <f>IF(AND(AL23&lt;&gt;"",'Official Results'!X13&lt;&gt;"",AL23='Official Results'!X13),1,0)+IF(AND(AM23&lt;&gt;"",'Official Results'!X14&lt;&gt;"",AM23='Official Results'!X14),1,0)+IF(AND(AN23&lt;&gt;"",'Official Results'!X15&lt;&gt;"",'Official Results'!AB15="Yes",AN23='Official Results'!X15),1,0)</f>
        <v>0</v>
      </c>
      <c r="AQ23" s="101"/>
      <c r="AR23" s="102"/>
      <c r="AS23" s="103"/>
      <c r="AT23" s="68">
        <f>IF(AND(AQ23&lt;&gt;"",'Official Results'!C20&lt;&gt;""),IF(AQ23='Official Results'!C20,'Instructions &amp; Rules'!$K$4,IF(AQ23='Official Results'!C21,'Instructions &amp; Rules'!$K$6,0)),0)+IF(AND(AR23&lt;&gt;"",'Official Results'!C21&lt;&gt;""),IF(AR23='Official Results'!C21,'Instructions &amp; Rules'!$K$5,IF(AR23='Official Results'!C20,'Instructions &amp; Rules'!$K$6,0)),0)+IF(AND(AS23&lt;&gt;"",'Official Results'!C22&lt;&gt;"",'Official Results'!G22="Yes"),IF(AS23='Official Results'!C22,'Instructions &amp; Rules'!$K$7,0),0)+IF(AND(AQ23='Official Results'!C20,AR23='Official Results'!C21,'Official Results'!C20&lt;&gt;"",'Official Results'!C21&lt;&gt;""),'Instructions &amp; Rules'!$K$8,0)+IF(AND(AQ23='Official Results'!C20,AR23='Official Results'!C21,AS23='Official Results'!C22,'Official Results'!G22="Yes"),'Instructions &amp; Rules'!$K$9,0)</f>
        <v>0</v>
      </c>
      <c r="AU23" s="69">
        <f>IF(AND(AQ23&lt;&gt;"",'Official Results'!C20&lt;&gt;"",AQ23='Official Results'!C20),1,0)+IF(AND(AR23&lt;&gt;"",'Official Results'!C21&lt;&gt;"",AR23='Official Results'!C21),1,0)+IF(AND(AS23&lt;&gt;"",'Official Results'!C22&lt;&gt;"",'Official Results'!G22="Yes",AS23='Official Results'!C22),1,0)</f>
        <v>0</v>
      </c>
      <c r="AV23" s="101"/>
      <c r="AW23" s="102"/>
      <c r="AX23" s="103"/>
      <c r="AY23" s="68">
        <f>IF(AND(AV23&lt;&gt;"",'Official Results'!J20&lt;&gt;""),IF(AV23='Official Results'!J20,'Instructions &amp; Rules'!$K$4,IF(AV23='Official Results'!J21,'Instructions &amp; Rules'!$K$6,0)),0)+IF(AND(AW23&lt;&gt;"",'Official Results'!J21&lt;&gt;""),IF(AW23='Official Results'!J21,'Instructions &amp; Rules'!$K$5,IF(AW23='Official Results'!J20,'Instructions &amp; Rules'!$K$6,0)),0)+IF(AND(AX23&lt;&gt;"",'Official Results'!J22&lt;&gt;"",'Official Results'!N22="Yes"),IF(AX23='Official Results'!J22,'Instructions &amp; Rules'!$K$7,0),0)+IF(AND(AV23='Official Results'!J20,AW23='Official Results'!J21,'Official Results'!J20&lt;&gt;"",'Official Results'!J21&lt;&gt;""),'Instructions &amp; Rules'!$K$8,0)+IF(AND(AV23='Official Results'!J20,AW23='Official Results'!J21,AX23='Official Results'!J22,'Official Results'!N22="Yes"),'Instructions &amp; Rules'!$K$9,0)</f>
        <v>0</v>
      </c>
      <c r="AZ23" s="69">
        <f>IF(AND(AV23&lt;&gt;"",'Official Results'!J20&lt;&gt;"",AV23='Official Results'!J20),1,0)+IF(AND(AW23&lt;&gt;"",'Official Results'!J21&lt;&gt;"",AW23='Official Results'!J21),1,0)+IF(AND(AX23&lt;&gt;"",'Official Results'!J22&lt;&gt;"",'Official Results'!N22="Yes",AX23='Official Results'!J22),1,0)</f>
        <v>0</v>
      </c>
      <c r="BA23" s="101"/>
      <c r="BB23" s="102"/>
      <c r="BC23" s="103"/>
      <c r="BD23" s="68">
        <f>IF(AND(BA23&lt;&gt;"",'Official Results'!Q20&lt;&gt;""),IF(BA23='Official Results'!Q20,'Instructions &amp; Rules'!$K$4,IF(BA23='Official Results'!Q21,'Instructions &amp; Rules'!$K$6,0)),0)+IF(AND(BB23&lt;&gt;"",'Official Results'!Q21&lt;&gt;""),IF(BB23='Official Results'!Q21,'Instructions &amp; Rules'!$K$5,IF(BB23='Official Results'!Q20,'Instructions &amp; Rules'!$K$6,0)),0)+IF(AND(BC23&lt;&gt;"",'Official Results'!Q22&lt;&gt;"",'Official Results'!U22="Yes"),IF(BC23='Official Results'!Q22,'Instructions &amp; Rules'!$K$7,0),0)+IF(AND(BA23='Official Results'!Q20,BB23='Official Results'!Q21,'Official Results'!Q20&lt;&gt;"",'Official Results'!Q21&lt;&gt;""),'Instructions &amp; Rules'!$K$8,0)+IF(AND(BA23='Official Results'!Q20,BB23='Official Results'!Q21,BC23='Official Results'!Q22,'Official Results'!U22="Yes"),'Instructions &amp; Rules'!$K$9,0)</f>
        <v>0</v>
      </c>
      <c r="BE23" s="69">
        <f>IF(AND(BA23&lt;&gt;"",'Official Results'!Q20&lt;&gt;"",BA23='Official Results'!Q20),1,0)+IF(AND(BB23&lt;&gt;"",'Official Results'!Q21&lt;&gt;"",BB23='Official Results'!Q21),1,0)+IF(AND(BC23&lt;&gt;"",'Official Results'!Q22&lt;&gt;"",'Official Results'!U22="Yes",BC23='Official Results'!Q22),1,0)</f>
        <v>0</v>
      </c>
      <c r="BF23" s="101"/>
      <c r="BG23" s="102"/>
      <c r="BH23" s="103"/>
      <c r="BI23" s="68">
        <f>IF(AND(BF23&lt;&gt;"",'Official Results'!X20&lt;&gt;""),IF(BF23='Official Results'!X20,'Instructions &amp; Rules'!$K$4,IF(BF23='Official Results'!X21,'Instructions &amp; Rules'!$K$6,0)),0)+IF(AND(BG23&lt;&gt;"",'Official Results'!X21&lt;&gt;""),IF(BG23='Official Results'!X21,'Instructions &amp; Rules'!$K$5,IF(BG23='Official Results'!X20,'Instructions &amp; Rules'!$K$6,0)),0)+IF(AND(BH23&lt;&gt;"",'Official Results'!X22&lt;&gt;"",'Official Results'!AB22="Yes"),IF(BH23='Official Results'!X22,'Instructions &amp; Rules'!$K$7,0),0)+IF(AND(BF23='Official Results'!X20,BG23='Official Results'!X21,'Official Results'!X20&lt;&gt;"",'Official Results'!X21&lt;&gt;""),'Instructions &amp; Rules'!$K$8,0)+IF(AND(BF23='Official Results'!X20,BG23='Official Results'!X21,BH23='Official Results'!X22,'Official Results'!AB22="Yes"),'Instructions &amp; Rules'!$K$9,0)</f>
        <v>0</v>
      </c>
      <c r="BJ23" s="69">
        <f>IF(AND(BF23&lt;&gt;"",'Official Results'!X20&lt;&gt;"",BF23='Official Results'!X20),1,0)+IF(AND(BG23&lt;&gt;"",'Official Results'!X21&lt;&gt;"",BG23='Official Results'!X21),1,0)+IF(AND(BH23&lt;&gt;"",'Official Results'!X22&lt;&gt;"",'Official Results'!AB22="Yes",BH23='Official Results'!X22),1,0)</f>
        <v>0</v>
      </c>
      <c r="BK23" s="70">
        <f t="shared" si="0"/>
        <v>0</v>
      </c>
      <c r="BL23" s="71">
        <f t="shared" si="1"/>
        <v>0</v>
      </c>
      <c r="BM23" s="72">
        <f t="shared" si="2"/>
        <v>0</v>
      </c>
    </row>
    <row r="24" spans="1:65" ht="15" customHeight="1">
      <c r="A24" s="73" t="str">
        <f>IF(Players!B24="","",Players!B24)</f>
        <v>Player 19</v>
      </c>
      <c r="B24" s="86"/>
      <c r="C24" s="101"/>
      <c r="D24" s="102"/>
      <c r="E24" s="103"/>
      <c r="F24" s="68">
        <f>IF(AND(C24&lt;&gt;"",'Official Results'!C6&lt;&gt;""),IF(C24='Official Results'!C6,'Instructions &amp; Rules'!$K$4,IF(C24='Official Results'!C7,'Instructions &amp; Rules'!$K$6,0)),0)+IF(AND(D24&lt;&gt;"",'Official Results'!C7&lt;&gt;""),IF(D24='Official Results'!C7,'Instructions &amp; Rules'!$K$5,IF(D24='Official Results'!C6,'Instructions &amp; Rules'!$K$6,0)),0)+IF(AND(E24&lt;&gt;"",'Official Results'!C8&lt;&gt;"",'Official Results'!G8="Yes"),IF(E24='Official Results'!C8,'Instructions &amp; Rules'!$K$7,0),0)+IF(AND(C24='Official Results'!C6,D24='Official Results'!C7,'Official Results'!C6&lt;&gt;"",'Official Results'!C7&lt;&gt;""),'Instructions &amp; Rules'!$K$8,0)+IF(AND(C24='Official Results'!C6,D24='Official Results'!C7,E24='Official Results'!C8,'Official Results'!G8="Yes"),'Instructions &amp; Rules'!$K$9,0)</f>
        <v>0</v>
      </c>
      <c r="G24" s="69">
        <f>IF(AND(C24&lt;&gt;"",'Official Results'!C6&lt;&gt;"",C24='Official Results'!C6),1,0)+IF(AND(D24&lt;&gt;"",'Official Results'!C7&lt;&gt;"",D24='Official Results'!C7),1,0)+IF(AND(E24&lt;&gt;"",'Official Results'!C8&lt;&gt;"",'Official Results'!G8="Yes",E24='Official Results'!C8),1,0)</f>
        <v>0</v>
      </c>
      <c r="H24" s="101"/>
      <c r="I24" s="102"/>
      <c r="J24" s="103"/>
      <c r="K24" s="68">
        <f>IF(AND(H24&lt;&gt;"",'Official Results'!J6&lt;&gt;""),IF(H24='Official Results'!J6,'Instructions &amp; Rules'!$K$4,IF(H24='Official Results'!J7,'Instructions &amp; Rules'!$K$6,0)),0)+IF(AND(I24&lt;&gt;"",'Official Results'!J7&lt;&gt;""),IF(I24='Official Results'!J7,'Instructions &amp; Rules'!$K$5,IF(I24='Official Results'!J6,'Instructions &amp; Rules'!$K$6,0)),0)+IF(AND(J24&lt;&gt;"",'Official Results'!J8&lt;&gt;"",'Official Results'!N8="Yes"),IF(J24='Official Results'!J8,'Instructions &amp; Rules'!$K$7,0),0)+IF(AND(H24='Official Results'!J6,I24='Official Results'!J7,'Official Results'!J6&lt;&gt;"",'Official Results'!J7&lt;&gt;""),'Instructions &amp; Rules'!$K$8,0)+IF(AND(H24='Official Results'!J6,I24='Official Results'!J7,J24='Official Results'!J8,'Official Results'!N8="Yes"),'Instructions &amp; Rules'!$K$9,0)</f>
        <v>0</v>
      </c>
      <c r="L24" s="69">
        <f>IF(AND(H24&lt;&gt;"",'Official Results'!J6&lt;&gt;"",H24='Official Results'!J6),1,0)+IF(AND(I24&lt;&gt;"",'Official Results'!J7&lt;&gt;"",I24='Official Results'!J7),1,0)+IF(AND(J24&lt;&gt;"",'Official Results'!J8&lt;&gt;"",'Official Results'!N8="Yes",J24='Official Results'!J8),1,0)</f>
        <v>0</v>
      </c>
      <c r="M24" s="101"/>
      <c r="N24" s="102"/>
      <c r="O24" s="103"/>
      <c r="P24" s="68">
        <f>IF(AND(M24&lt;&gt;"",'Official Results'!Q6&lt;&gt;""),IF(M24='Official Results'!Q6,'Instructions &amp; Rules'!$K$4,IF(M24='Official Results'!Q7,'Instructions &amp; Rules'!$K$6,0)),0)+IF(AND(N24&lt;&gt;"",'Official Results'!Q7&lt;&gt;""),IF(N24='Official Results'!Q7,'Instructions &amp; Rules'!$K$5,IF(N24='Official Results'!Q6,'Instructions &amp; Rules'!$K$6,0)),0)+IF(AND(O24&lt;&gt;"",'Official Results'!Q8&lt;&gt;"",'Official Results'!U8="Yes"),IF(O24='Official Results'!Q8,'Instructions &amp; Rules'!$K$7,0),0)+IF(AND(M24='Official Results'!Q6,N24='Official Results'!Q7,'Official Results'!Q6&lt;&gt;"",'Official Results'!Q7&lt;&gt;""),'Instructions &amp; Rules'!$K$8,0)+IF(AND(M24='Official Results'!Q6,N24='Official Results'!Q7,O24='Official Results'!Q8,'Official Results'!U8="Yes"),'Instructions &amp; Rules'!$K$9,0)</f>
        <v>0</v>
      </c>
      <c r="Q24" s="69">
        <f>IF(AND(M24&lt;&gt;"",'Official Results'!Q6&lt;&gt;"",M24='Official Results'!Q6),1,0)+IF(AND(N24&lt;&gt;"",'Official Results'!Q7&lt;&gt;"",N24='Official Results'!Q7),1,0)+IF(AND(O24&lt;&gt;"",'Official Results'!Q8&lt;&gt;"",'Official Results'!U8="Yes",O24='Official Results'!Q8),1,0)</f>
        <v>0</v>
      </c>
      <c r="R24" s="101"/>
      <c r="S24" s="102"/>
      <c r="T24" s="103"/>
      <c r="U24" s="68">
        <f>IF(AND(R24&lt;&gt;"",'Official Results'!X6&lt;&gt;""),IF(R24='Official Results'!X6,'Instructions &amp; Rules'!$K$4,IF(R24='Official Results'!X7,'Instructions &amp; Rules'!$K$6,0)),0)+IF(AND(S24&lt;&gt;"",'Official Results'!X7&lt;&gt;""),IF(S24='Official Results'!X7,'Instructions &amp; Rules'!$K$5,IF(S24='Official Results'!X6,'Instructions &amp; Rules'!$K$6,0)),0)+IF(AND(T24&lt;&gt;"",'Official Results'!X8&lt;&gt;"",'Official Results'!AB8="Yes"),IF(T24='Official Results'!X8,'Instructions &amp; Rules'!$K$7,0),0)+IF(AND(R24='Official Results'!X6,S24='Official Results'!X7,'Official Results'!X6&lt;&gt;"",'Official Results'!X7&lt;&gt;""),'Instructions &amp; Rules'!$K$8,0)+IF(AND(R24='Official Results'!X6,S24='Official Results'!X7,T24='Official Results'!X8,'Official Results'!AB8="Yes"),'Instructions &amp; Rules'!$K$9,0)</f>
        <v>0</v>
      </c>
      <c r="V24" s="69">
        <f>IF(AND(R24&lt;&gt;"",'Official Results'!X6&lt;&gt;"",R24='Official Results'!X6),1,0)+IF(AND(S24&lt;&gt;"",'Official Results'!X7&lt;&gt;"",S24='Official Results'!X7),1,0)+IF(AND(T24&lt;&gt;"",'Official Results'!X8&lt;&gt;"",'Official Results'!AB8="Yes",T24='Official Results'!X8),1,0)</f>
        <v>0</v>
      </c>
      <c r="W24" s="101"/>
      <c r="X24" s="102"/>
      <c r="Y24" s="103"/>
      <c r="Z24" s="68">
        <f>IF(AND(W24&lt;&gt;"",'Official Results'!C13&lt;&gt;""),IF(W24='Official Results'!C13,'Instructions &amp; Rules'!$K$4,IF(W24='Official Results'!C14,'Instructions &amp; Rules'!$K$6,0)),0)+IF(AND(X24&lt;&gt;"",'Official Results'!C14&lt;&gt;""),IF(X24='Official Results'!C14,'Instructions &amp; Rules'!$K$5,IF(X24='Official Results'!C13,'Instructions &amp; Rules'!$K$6,0)),0)+IF(AND(Y24&lt;&gt;"",'Official Results'!C15&lt;&gt;"",'Official Results'!G15="Yes"),IF(Y24='Official Results'!C15,'Instructions &amp; Rules'!$K$7,0),0)+IF(AND(W24='Official Results'!C13,X24='Official Results'!C14,'Official Results'!C13&lt;&gt;"",'Official Results'!C14&lt;&gt;""),'Instructions &amp; Rules'!$K$8,0)+IF(AND(W24='Official Results'!C13,X24='Official Results'!C14,Y24='Official Results'!C15,'Official Results'!G15="Yes"),'Instructions &amp; Rules'!$K$9,0)</f>
        <v>0</v>
      </c>
      <c r="AA24" s="69">
        <f>IF(AND(W24&lt;&gt;"",'Official Results'!C13&lt;&gt;"",W24='Official Results'!C13),1,0)+IF(AND(X24&lt;&gt;"",'Official Results'!C14&lt;&gt;"",X24='Official Results'!C14),1,0)+IF(AND(Y24&lt;&gt;"",'Official Results'!C15&lt;&gt;"",'Official Results'!G15="Yes",Y24='Official Results'!C15),1,0)</f>
        <v>0</v>
      </c>
      <c r="AB24" s="101"/>
      <c r="AC24" s="102"/>
      <c r="AD24" s="103"/>
      <c r="AE24" s="68">
        <f>IF(AND(AB24&lt;&gt;"",'Official Results'!J13&lt;&gt;""),IF(AB24='Official Results'!J13,'Instructions &amp; Rules'!$K$4,IF(AB24='Official Results'!J14,'Instructions &amp; Rules'!$K$6,0)),0)+IF(AND(AC24&lt;&gt;"",'Official Results'!J14&lt;&gt;""),IF(AC24='Official Results'!J14,'Instructions &amp; Rules'!$K$5,IF(AC24='Official Results'!J13,'Instructions &amp; Rules'!$K$6,0)),0)+IF(AND(AD24&lt;&gt;"",'Official Results'!J15&lt;&gt;"",'Official Results'!N15="Yes"),IF(AD24='Official Results'!J15,'Instructions &amp; Rules'!$K$7,0),0)+IF(AND(AB24='Official Results'!J13,AC24='Official Results'!J14,'Official Results'!J13&lt;&gt;"",'Official Results'!J14&lt;&gt;""),'Instructions &amp; Rules'!$K$8,0)+IF(AND(AB24='Official Results'!J13,AC24='Official Results'!J14,AD24='Official Results'!J15,'Official Results'!N15="Yes"),'Instructions &amp; Rules'!$K$9,0)</f>
        <v>0</v>
      </c>
      <c r="AF24" s="69">
        <f>IF(AND(AB24&lt;&gt;"",'Official Results'!J13&lt;&gt;"",AB24='Official Results'!J13),1,0)+IF(AND(AC24&lt;&gt;"",'Official Results'!J14&lt;&gt;"",AC24='Official Results'!J14),1,0)+IF(AND(AD24&lt;&gt;"",'Official Results'!J15&lt;&gt;"",'Official Results'!N15="Yes",AD24='Official Results'!J15),1,0)</f>
        <v>0</v>
      </c>
      <c r="AG24" s="101"/>
      <c r="AH24" s="102"/>
      <c r="AI24" s="103"/>
      <c r="AJ24" s="68">
        <f>IF(AND(AG24&lt;&gt;"",'Official Results'!Q13&lt;&gt;""),IF(AG24='Official Results'!Q13,'Instructions &amp; Rules'!$K$4,IF(AG24='Official Results'!Q14,'Instructions &amp; Rules'!$K$6,0)),0)+IF(AND(AH24&lt;&gt;"",'Official Results'!Q14&lt;&gt;""),IF(AH24='Official Results'!Q14,'Instructions &amp; Rules'!$K$5,IF(AH24='Official Results'!Q13,'Instructions &amp; Rules'!$K$6,0)),0)+IF(AND(AI24&lt;&gt;"",'Official Results'!Q15&lt;&gt;"",'Official Results'!U15="Yes"),IF(AI24='Official Results'!Q15,'Instructions &amp; Rules'!$K$7,0),0)+IF(AND(AG24='Official Results'!Q13,AH24='Official Results'!Q14,'Official Results'!Q13&lt;&gt;"",'Official Results'!Q14&lt;&gt;""),'Instructions &amp; Rules'!$K$8,0)+IF(AND(AG24='Official Results'!Q13,AH24='Official Results'!Q14,AI24='Official Results'!Q15,'Official Results'!U15="Yes"),'Instructions &amp; Rules'!$K$9,0)</f>
        <v>0</v>
      </c>
      <c r="AK24" s="69">
        <f>IF(AND(AG24&lt;&gt;"",'Official Results'!Q13&lt;&gt;"",AG24='Official Results'!Q13),1,0)+IF(AND(AH24&lt;&gt;"",'Official Results'!Q14&lt;&gt;"",AH24='Official Results'!Q14),1,0)+IF(AND(AI24&lt;&gt;"",'Official Results'!Q15&lt;&gt;"",'Official Results'!U15="Yes",AI24='Official Results'!Q15),1,0)</f>
        <v>0</v>
      </c>
      <c r="AL24" s="101"/>
      <c r="AM24" s="102"/>
      <c r="AN24" s="103"/>
      <c r="AO24" s="68">
        <f>IF(AND(AL24&lt;&gt;"",'Official Results'!X13&lt;&gt;""),IF(AL24='Official Results'!X13,'Instructions &amp; Rules'!$K$4,IF(AL24='Official Results'!X14,'Instructions &amp; Rules'!$K$6,0)),0)+IF(AND(AM24&lt;&gt;"",'Official Results'!X14&lt;&gt;""),IF(AM24='Official Results'!X14,'Instructions &amp; Rules'!$K$5,IF(AM24='Official Results'!X13,'Instructions &amp; Rules'!$K$6,0)),0)+IF(AND(AN24&lt;&gt;"",'Official Results'!X15&lt;&gt;"",'Official Results'!AB15="Yes"),IF(AN24='Official Results'!X15,'Instructions &amp; Rules'!$K$7,0),0)+IF(AND(AL24='Official Results'!X13,AM24='Official Results'!X14,'Official Results'!X13&lt;&gt;"",'Official Results'!X14&lt;&gt;""),'Instructions &amp; Rules'!$K$8,0)+IF(AND(AL24='Official Results'!X13,AM24='Official Results'!X14,AN24='Official Results'!X15,'Official Results'!AB15="Yes"),'Instructions &amp; Rules'!$K$9,0)</f>
        <v>0</v>
      </c>
      <c r="AP24" s="69">
        <f>IF(AND(AL24&lt;&gt;"",'Official Results'!X13&lt;&gt;"",AL24='Official Results'!X13),1,0)+IF(AND(AM24&lt;&gt;"",'Official Results'!X14&lt;&gt;"",AM24='Official Results'!X14),1,0)+IF(AND(AN24&lt;&gt;"",'Official Results'!X15&lt;&gt;"",'Official Results'!AB15="Yes",AN24='Official Results'!X15),1,0)</f>
        <v>0</v>
      </c>
      <c r="AQ24" s="101"/>
      <c r="AR24" s="102"/>
      <c r="AS24" s="103"/>
      <c r="AT24" s="68">
        <f>IF(AND(AQ24&lt;&gt;"",'Official Results'!C20&lt;&gt;""),IF(AQ24='Official Results'!C20,'Instructions &amp; Rules'!$K$4,IF(AQ24='Official Results'!C21,'Instructions &amp; Rules'!$K$6,0)),0)+IF(AND(AR24&lt;&gt;"",'Official Results'!C21&lt;&gt;""),IF(AR24='Official Results'!C21,'Instructions &amp; Rules'!$K$5,IF(AR24='Official Results'!C20,'Instructions &amp; Rules'!$K$6,0)),0)+IF(AND(AS24&lt;&gt;"",'Official Results'!C22&lt;&gt;"",'Official Results'!G22="Yes"),IF(AS24='Official Results'!C22,'Instructions &amp; Rules'!$K$7,0),0)+IF(AND(AQ24='Official Results'!C20,AR24='Official Results'!C21,'Official Results'!C20&lt;&gt;"",'Official Results'!C21&lt;&gt;""),'Instructions &amp; Rules'!$K$8,0)+IF(AND(AQ24='Official Results'!C20,AR24='Official Results'!C21,AS24='Official Results'!C22,'Official Results'!G22="Yes"),'Instructions &amp; Rules'!$K$9,0)</f>
        <v>0</v>
      </c>
      <c r="AU24" s="69">
        <f>IF(AND(AQ24&lt;&gt;"",'Official Results'!C20&lt;&gt;"",AQ24='Official Results'!C20),1,0)+IF(AND(AR24&lt;&gt;"",'Official Results'!C21&lt;&gt;"",AR24='Official Results'!C21),1,0)+IF(AND(AS24&lt;&gt;"",'Official Results'!C22&lt;&gt;"",'Official Results'!G22="Yes",AS24='Official Results'!C22),1,0)</f>
        <v>0</v>
      </c>
      <c r="AV24" s="101"/>
      <c r="AW24" s="102"/>
      <c r="AX24" s="103"/>
      <c r="AY24" s="68">
        <f>IF(AND(AV24&lt;&gt;"",'Official Results'!J20&lt;&gt;""),IF(AV24='Official Results'!J20,'Instructions &amp; Rules'!$K$4,IF(AV24='Official Results'!J21,'Instructions &amp; Rules'!$K$6,0)),0)+IF(AND(AW24&lt;&gt;"",'Official Results'!J21&lt;&gt;""),IF(AW24='Official Results'!J21,'Instructions &amp; Rules'!$K$5,IF(AW24='Official Results'!J20,'Instructions &amp; Rules'!$K$6,0)),0)+IF(AND(AX24&lt;&gt;"",'Official Results'!J22&lt;&gt;"",'Official Results'!N22="Yes"),IF(AX24='Official Results'!J22,'Instructions &amp; Rules'!$K$7,0),0)+IF(AND(AV24='Official Results'!J20,AW24='Official Results'!J21,'Official Results'!J20&lt;&gt;"",'Official Results'!J21&lt;&gt;""),'Instructions &amp; Rules'!$K$8,0)+IF(AND(AV24='Official Results'!J20,AW24='Official Results'!J21,AX24='Official Results'!J22,'Official Results'!N22="Yes"),'Instructions &amp; Rules'!$K$9,0)</f>
        <v>0</v>
      </c>
      <c r="AZ24" s="69">
        <f>IF(AND(AV24&lt;&gt;"",'Official Results'!J20&lt;&gt;"",AV24='Official Results'!J20),1,0)+IF(AND(AW24&lt;&gt;"",'Official Results'!J21&lt;&gt;"",AW24='Official Results'!J21),1,0)+IF(AND(AX24&lt;&gt;"",'Official Results'!J22&lt;&gt;"",'Official Results'!N22="Yes",AX24='Official Results'!J22),1,0)</f>
        <v>0</v>
      </c>
      <c r="BA24" s="101"/>
      <c r="BB24" s="102"/>
      <c r="BC24" s="103"/>
      <c r="BD24" s="68">
        <f>IF(AND(BA24&lt;&gt;"",'Official Results'!Q20&lt;&gt;""),IF(BA24='Official Results'!Q20,'Instructions &amp; Rules'!$K$4,IF(BA24='Official Results'!Q21,'Instructions &amp; Rules'!$K$6,0)),0)+IF(AND(BB24&lt;&gt;"",'Official Results'!Q21&lt;&gt;""),IF(BB24='Official Results'!Q21,'Instructions &amp; Rules'!$K$5,IF(BB24='Official Results'!Q20,'Instructions &amp; Rules'!$K$6,0)),0)+IF(AND(BC24&lt;&gt;"",'Official Results'!Q22&lt;&gt;"",'Official Results'!U22="Yes"),IF(BC24='Official Results'!Q22,'Instructions &amp; Rules'!$K$7,0),0)+IF(AND(BA24='Official Results'!Q20,BB24='Official Results'!Q21,'Official Results'!Q20&lt;&gt;"",'Official Results'!Q21&lt;&gt;""),'Instructions &amp; Rules'!$K$8,0)+IF(AND(BA24='Official Results'!Q20,BB24='Official Results'!Q21,BC24='Official Results'!Q22,'Official Results'!U22="Yes"),'Instructions &amp; Rules'!$K$9,0)</f>
        <v>0</v>
      </c>
      <c r="BE24" s="69">
        <f>IF(AND(BA24&lt;&gt;"",'Official Results'!Q20&lt;&gt;"",BA24='Official Results'!Q20),1,0)+IF(AND(BB24&lt;&gt;"",'Official Results'!Q21&lt;&gt;"",BB24='Official Results'!Q21),1,0)+IF(AND(BC24&lt;&gt;"",'Official Results'!Q22&lt;&gt;"",'Official Results'!U22="Yes",BC24='Official Results'!Q22),1,0)</f>
        <v>0</v>
      </c>
      <c r="BF24" s="101"/>
      <c r="BG24" s="102"/>
      <c r="BH24" s="103"/>
      <c r="BI24" s="68">
        <f>IF(AND(BF24&lt;&gt;"",'Official Results'!X20&lt;&gt;""),IF(BF24='Official Results'!X20,'Instructions &amp; Rules'!$K$4,IF(BF24='Official Results'!X21,'Instructions &amp; Rules'!$K$6,0)),0)+IF(AND(BG24&lt;&gt;"",'Official Results'!X21&lt;&gt;""),IF(BG24='Official Results'!X21,'Instructions &amp; Rules'!$K$5,IF(BG24='Official Results'!X20,'Instructions &amp; Rules'!$K$6,0)),0)+IF(AND(BH24&lt;&gt;"",'Official Results'!X22&lt;&gt;"",'Official Results'!AB22="Yes"),IF(BH24='Official Results'!X22,'Instructions &amp; Rules'!$K$7,0),0)+IF(AND(BF24='Official Results'!X20,BG24='Official Results'!X21,'Official Results'!X20&lt;&gt;"",'Official Results'!X21&lt;&gt;""),'Instructions &amp; Rules'!$K$8,0)+IF(AND(BF24='Official Results'!X20,BG24='Official Results'!X21,BH24='Official Results'!X22,'Official Results'!AB22="Yes"),'Instructions &amp; Rules'!$K$9,0)</f>
        <v>0</v>
      </c>
      <c r="BJ24" s="69">
        <f>IF(AND(BF24&lt;&gt;"",'Official Results'!X20&lt;&gt;"",BF24='Official Results'!X20),1,0)+IF(AND(BG24&lt;&gt;"",'Official Results'!X21&lt;&gt;"",BG24='Official Results'!X21),1,0)+IF(AND(BH24&lt;&gt;"",'Official Results'!X22&lt;&gt;"",'Official Results'!AB22="Yes",BH24='Official Results'!X22),1,0)</f>
        <v>0</v>
      </c>
      <c r="BK24" s="70">
        <f t="shared" si="0"/>
        <v>0</v>
      </c>
      <c r="BL24" s="71">
        <f t="shared" si="1"/>
        <v>0</v>
      </c>
      <c r="BM24" s="72">
        <f t="shared" si="2"/>
        <v>0</v>
      </c>
    </row>
    <row r="25" spans="1:65" ht="15" customHeight="1">
      <c r="A25" s="74" t="str">
        <f>IF(Players!B25="","",Players!B25)</f>
        <v>Player 20</v>
      </c>
      <c r="B25" s="87"/>
      <c r="C25" s="101"/>
      <c r="D25" s="102"/>
      <c r="E25" s="103"/>
      <c r="F25" s="68">
        <f>IF(AND(C25&lt;&gt;"",'Official Results'!C6&lt;&gt;""),IF(C25='Official Results'!C6,'Instructions &amp; Rules'!$K$4,IF(C25='Official Results'!C7,'Instructions &amp; Rules'!$K$6,0)),0)+IF(AND(D25&lt;&gt;"",'Official Results'!C7&lt;&gt;""),IF(D25='Official Results'!C7,'Instructions &amp; Rules'!$K$5,IF(D25='Official Results'!C6,'Instructions &amp; Rules'!$K$6,0)),0)+IF(AND(E25&lt;&gt;"",'Official Results'!C8&lt;&gt;"",'Official Results'!G8="Yes"),IF(E25='Official Results'!C8,'Instructions &amp; Rules'!$K$7,0),0)+IF(AND(C25='Official Results'!C6,D25='Official Results'!C7,'Official Results'!C6&lt;&gt;"",'Official Results'!C7&lt;&gt;""),'Instructions &amp; Rules'!$K$8,0)+IF(AND(C25='Official Results'!C6,D25='Official Results'!C7,E25='Official Results'!C8,'Official Results'!G8="Yes"),'Instructions &amp; Rules'!$K$9,0)</f>
        <v>0</v>
      </c>
      <c r="G25" s="69">
        <f>IF(AND(C25&lt;&gt;"",'Official Results'!C6&lt;&gt;"",C25='Official Results'!C6),1,0)+IF(AND(D25&lt;&gt;"",'Official Results'!C7&lt;&gt;"",D25='Official Results'!C7),1,0)+IF(AND(E25&lt;&gt;"",'Official Results'!C8&lt;&gt;"",'Official Results'!G8="Yes",E25='Official Results'!C8),1,0)</f>
        <v>0</v>
      </c>
      <c r="H25" s="101"/>
      <c r="I25" s="102"/>
      <c r="J25" s="103"/>
      <c r="K25" s="68">
        <f>IF(AND(H25&lt;&gt;"",'Official Results'!J6&lt;&gt;""),IF(H25='Official Results'!J6,'Instructions &amp; Rules'!$K$4,IF(H25='Official Results'!J7,'Instructions &amp; Rules'!$K$6,0)),0)+IF(AND(I25&lt;&gt;"",'Official Results'!J7&lt;&gt;""),IF(I25='Official Results'!J7,'Instructions &amp; Rules'!$K$5,IF(I25='Official Results'!J6,'Instructions &amp; Rules'!$K$6,0)),0)+IF(AND(J25&lt;&gt;"",'Official Results'!J8&lt;&gt;"",'Official Results'!N8="Yes"),IF(J25='Official Results'!J8,'Instructions &amp; Rules'!$K$7,0),0)+IF(AND(H25='Official Results'!J6,I25='Official Results'!J7,'Official Results'!J6&lt;&gt;"",'Official Results'!J7&lt;&gt;""),'Instructions &amp; Rules'!$K$8,0)+IF(AND(H25='Official Results'!J6,I25='Official Results'!J7,J25='Official Results'!J8,'Official Results'!N8="Yes"),'Instructions &amp; Rules'!$K$9,0)</f>
        <v>0</v>
      </c>
      <c r="L25" s="69">
        <f>IF(AND(H25&lt;&gt;"",'Official Results'!J6&lt;&gt;"",H25='Official Results'!J6),1,0)+IF(AND(I25&lt;&gt;"",'Official Results'!J7&lt;&gt;"",I25='Official Results'!J7),1,0)+IF(AND(J25&lt;&gt;"",'Official Results'!J8&lt;&gt;"",'Official Results'!N8="Yes",J25='Official Results'!J8),1,0)</f>
        <v>0</v>
      </c>
      <c r="M25" s="101"/>
      <c r="N25" s="102"/>
      <c r="O25" s="103"/>
      <c r="P25" s="68">
        <f>IF(AND(M25&lt;&gt;"",'Official Results'!Q6&lt;&gt;""),IF(M25='Official Results'!Q6,'Instructions &amp; Rules'!$K$4,IF(M25='Official Results'!Q7,'Instructions &amp; Rules'!$K$6,0)),0)+IF(AND(N25&lt;&gt;"",'Official Results'!Q7&lt;&gt;""),IF(N25='Official Results'!Q7,'Instructions &amp; Rules'!$K$5,IF(N25='Official Results'!Q6,'Instructions &amp; Rules'!$K$6,0)),0)+IF(AND(O25&lt;&gt;"",'Official Results'!Q8&lt;&gt;"",'Official Results'!U8="Yes"),IF(O25='Official Results'!Q8,'Instructions &amp; Rules'!$K$7,0),0)+IF(AND(M25='Official Results'!Q6,N25='Official Results'!Q7,'Official Results'!Q6&lt;&gt;"",'Official Results'!Q7&lt;&gt;""),'Instructions &amp; Rules'!$K$8,0)+IF(AND(M25='Official Results'!Q6,N25='Official Results'!Q7,O25='Official Results'!Q8,'Official Results'!U8="Yes"),'Instructions &amp; Rules'!$K$9,0)</f>
        <v>0</v>
      </c>
      <c r="Q25" s="69">
        <f>IF(AND(M25&lt;&gt;"",'Official Results'!Q6&lt;&gt;"",M25='Official Results'!Q6),1,0)+IF(AND(N25&lt;&gt;"",'Official Results'!Q7&lt;&gt;"",N25='Official Results'!Q7),1,0)+IF(AND(O25&lt;&gt;"",'Official Results'!Q8&lt;&gt;"",'Official Results'!U8="Yes",O25='Official Results'!Q8),1,0)</f>
        <v>0</v>
      </c>
      <c r="R25" s="101"/>
      <c r="S25" s="102"/>
      <c r="T25" s="103"/>
      <c r="U25" s="68">
        <f>IF(AND(R25&lt;&gt;"",'Official Results'!X6&lt;&gt;""),IF(R25='Official Results'!X6,'Instructions &amp; Rules'!$K$4,IF(R25='Official Results'!X7,'Instructions &amp; Rules'!$K$6,0)),0)+IF(AND(S25&lt;&gt;"",'Official Results'!X7&lt;&gt;""),IF(S25='Official Results'!X7,'Instructions &amp; Rules'!$K$5,IF(S25='Official Results'!X6,'Instructions &amp; Rules'!$K$6,0)),0)+IF(AND(T25&lt;&gt;"",'Official Results'!X8&lt;&gt;"",'Official Results'!AB8="Yes"),IF(T25='Official Results'!X8,'Instructions &amp; Rules'!$K$7,0),0)+IF(AND(R25='Official Results'!X6,S25='Official Results'!X7,'Official Results'!X6&lt;&gt;"",'Official Results'!X7&lt;&gt;""),'Instructions &amp; Rules'!$K$8,0)+IF(AND(R25='Official Results'!X6,S25='Official Results'!X7,T25='Official Results'!X8,'Official Results'!AB8="Yes"),'Instructions &amp; Rules'!$K$9,0)</f>
        <v>0</v>
      </c>
      <c r="V25" s="69">
        <f>IF(AND(R25&lt;&gt;"",'Official Results'!X6&lt;&gt;"",R25='Official Results'!X6),1,0)+IF(AND(S25&lt;&gt;"",'Official Results'!X7&lt;&gt;"",S25='Official Results'!X7),1,0)+IF(AND(T25&lt;&gt;"",'Official Results'!X8&lt;&gt;"",'Official Results'!AB8="Yes",T25='Official Results'!X8),1,0)</f>
        <v>0</v>
      </c>
      <c r="W25" s="101"/>
      <c r="X25" s="102"/>
      <c r="Y25" s="103"/>
      <c r="Z25" s="68">
        <f>IF(AND(W25&lt;&gt;"",'Official Results'!C13&lt;&gt;""),IF(W25='Official Results'!C13,'Instructions &amp; Rules'!$K$4,IF(W25='Official Results'!C14,'Instructions &amp; Rules'!$K$6,0)),0)+IF(AND(X25&lt;&gt;"",'Official Results'!C14&lt;&gt;""),IF(X25='Official Results'!C14,'Instructions &amp; Rules'!$K$5,IF(X25='Official Results'!C13,'Instructions &amp; Rules'!$K$6,0)),0)+IF(AND(Y25&lt;&gt;"",'Official Results'!C15&lt;&gt;"",'Official Results'!G15="Yes"),IF(Y25='Official Results'!C15,'Instructions &amp; Rules'!$K$7,0),0)+IF(AND(W25='Official Results'!C13,X25='Official Results'!C14,'Official Results'!C13&lt;&gt;"",'Official Results'!C14&lt;&gt;""),'Instructions &amp; Rules'!$K$8,0)+IF(AND(W25='Official Results'!C13,X25='Official Results'!C14,Y25='Official Results'!C15,'Official Results'!G15="Yes"),'Instructions &amp; Rules'!$K$9,0)</f>
        <v>0</v>
      </c>
      <c r="AA25" s="69">
        <f>IF(AND(W25&lt;&gt;"",'Official Results'!C13&lt;&gt;"",W25='Official Results'!C13),1,0)+IF(AND(X25&lt;&gt;"",'Official Results'!C14&lt;&gt;"",X25='Official Results'!C14),1,0)+IF(AND(Y25&lt;&gt;"",'Official Results'!C15&lt;&gt;"",'Official Results'!G15="Yes",Y25='Official Results'!C15),1,0)</f>
        <v>0</v>
      </c>
      <c r="AB25" s="101"/>
      <c r="AC25" s="102"/>
      <c r="AD25" s="103"/>
      <c r="AE25" s="68">
        <f>IF(AND(AB25&lt;&gt;"",'Official Results'!J13&lt;&gt;""),IF(AB25='Official Results'!J13,'Instructions &amp; Rules'!$K$4,IF(AB25='Official Results'!J14,'Instructions &amp; Rules'!$K$6,0)),0)+IF(AND(AC25&lt;&gt;"",'Official Results'!J14&lt;&gt;""),IF(AC25='Official Results'!J14,'Instructions &amp; Rules'!$K$5,IF(AC25='Official Results'!J13,'Instructions &amp; Rules'!$K$6,0)),0)+IF(AND(AD25&lt;&gt;"",'Official Results'!J15&lt;&gt;"",'Official Results'!N15="Yes"),IF(AD25='Official Results'!J15,'Instructions &amp; Rules'!$K$7,0),0)+IF(AND(AB25='Official Results'!J13,AC25='Official Results'!J14,'Official Results'!J13&lt;&gt;"",'Official Results'!J14&lt;&gt;""),'Instructions &amp; Rules'!$K$8,0)+IF(AND(AB25='Official Results'!J13,AC25='Official Results'!J14,AD25='Official Results'!J15,'Official Results'!N15="Yes"),'Instructions &amp; Rules'!$K$9,0)</f>
        <v>0</v>
      </c>
      <c r="AF25" s="69">
        <f>IF(AND(AB25&lt;&gt;"",'Official Results'!J13&lt;&gt;"",AB25='Official Results'!J13),1,0)+IF(AND(AC25&lt;&gt;"",'Official Results'!J14&lt;&gt;"",AC25='Official Results'!J14),1,0)+IF(AND(AD25&lt;&gt;"",'Official Results'!J15&lt;&gt;"",'Official Results'!N15="Yes",AD25='Official Results'!J15),1,0)</f>
        <v>0</v>
      </c>
      <c r="AG25" s="101"/>
      <c r="AH25" s="102"/>
      <c r="AI25" s="103"/>
      <c r="AJ25" s="68">
        <f>IF(AND(AG25&lt;&gt;"",'Official Results'!Q13&lt;&gt;""),IF(AG25='Official Results'!Q13,'Instructions &amp; Rules'!$K$4,IF(AG25='Official Results'!Q14,'Instructions &amp; Rules'!$K$6,0)),0)+IF(AND(AH25&lt;&gt;"",'Official Results'!Q14&lt;&gt;""),IF(AH25='Official Results'!Q14,'Instructions &amp; Rules'!$K$5,IF(AH25='Official Results'!Q13,'Instructions &amp; Rules'!$K$6,0)),0)+IF(AND(AI25&lt;&gt;"",'Official Results'!Q15&lt;&gt;"",'Official Results'!U15="Yes"),IF(AI25='Official Results'!Q15,'Instructions &amp; Rules'!$K$7,0),0)+IF(AND(AG25='Official Results'!Q13,AH25='Official Results'!Q14,'Official Results'!Q13&lt;&gt;"",'Official Results'!Q14&lt;&gt;""),'Instructions &amp; Rules'!$K$8,0)+IF(AND(AG25='Official Results'!Q13,AH25='Official Results'!Q14,AI25='Official Results'!Q15,'Official Results'!U15="Yes"),'Instructions &amp; Rules'!$K$9,0)</f>
        <v>0</v>
      </c>
      <c r="AK25" s="69">
        <f>IF(AND(AG25&lt;&gt;"",'Official Results'!Q13&lt;&gt;"",AG25='Official Results'!Q13),1,0)+IF(AND(AH25&lt;&gt;"",'Official Results'!Q14&lt;&gt;"",AH25='Official Results'!Q14),1,0)+IF(AND(AI25&lt;&gt;"",'Official Results'!Q15&lt;&gt;"",'Official Results'!U15="Yes",AI25='Official Results'!Q15),1,0)</f>
        <v>0</v>
      </c>
      <c r="AL25" s="101"/>
      <c r="AM25" s="102"/>
      <c r="AN25" s="103"/>
      <c r="AO25" s="68">
        <f>IF(AND(AL25&lt;&gt;"",'Official Results'!X13&lt;&gt;""),IF(AL25='Official Results'!X13,'Instructions &amp; Rules'!$K$4,IF(AL25='Official Results'!X14,'Instructions &amp; Rules'!$K$6,0)),0)+IF(AND(AM25&lt;&gt;"",'Official Results'!X14&lt;&gt;""),IF(AM25='Official Results'!X14,'Instructions &amp; Rules'!$K$5,IF(AM25='Official Results'!X13,'Instructions &amp; Rules'!$K$6,0)),0)+IF(AND(AN25&lt;&gt;"",'Official Results'!X15&lt;&gt;"",'Official Results'!AB15="Yes"),IF(AN25='Official Results'!X15,'Instructions &amp; Rules'!$K$7,0),0)+IF(AND(AL25='Official Results'!X13,AM25='Official Results'!X14,'Official Results'!X13&lt;&gt;"",'Official Results'!X14&lt;&gt;""),'Instructions &amp; Rules'!$K$8,0)+IF(AND(AL25='Official Results'!X13,AM25='Official Results'!X14,AN25='Official Results'!X15,'Official Results'!AB15="Yes"),'Instructions &amp; Rules'!$K$9,0)</f>
        <v>0</v>
      </c>
      <c r="AP25" s="69">
        <f>IF(AND(AL25&lt;&gt;"",'Official Results'!X13&lt;&gt;"",AL25='Official Results'!X13),1,0)+IF(AND(AM25&lt;&gt;"",'Official Results'!X14&lt;&gt;"",AM25='Official Results'!X14),1,0)+IF(AND(AN25&lt;&gt;"",'Official Results'!X15&lt;&gt;"",'Official Results'!AB15="Yes",AN25='Official Results'!X15),1,0)</f>
        <v>0</v>
      </c>
      <c r="AQ25" s="101"/>
      <c r="AR25" s="102"/>
      <c r="AS25" s="103"/>
      <c r="AT25" s="68">
        <f>IF(AND(AQ25&lt;&gt;"",'Official Results'!C20&lt;&gt;""),IF(AQ25='Official Results'!C20,'Instructions &amp; Rules'!$K$4,IF(AQ25='Official Results'!C21,'Instructions &amp; Rules'!$K$6,0)),0)+IF(AND(AR25&lt;&gt;"",'Official Results'!C21&lt;&gt;""),IF(AR25='Official Results'!C21,'Instructions &amp; Rules'!$K$5,IF(AR25='Official Results'!C20,'Instructions &amp; Rules'!$K$6,0)),0)+IF(AND(AS25&lt;&gt;"",'Official Results'!C22&lt;&gt;"",'Official Results'!G22="Yes"),IF(AS25='Official Results'!C22,'Instructions &amp; Rules'!$K$7,0),0)+IF(AND(AQ25='Official Results'!C20,AR25='Official Results'!C21,'Official Results'!C20&lt;&gt;"",'Official Results'!C21&lt;&gt;""),'Instructions &amp; Rules'!$K$8,0)+IF(AND(AQ25='Official Results'!C20,AR25='Official Results'!C21,AS25='Official Results'!C22,'Official Results'!G22="Yes"),'Instructions &amp; Rules'!$K$9,0)</f>
        <v>0</v>
      </c>
      <c r="AU25" s="69">
        <f>IF(AND(AQ25&lt;&gt;"",'Official Results'!C20&lt;&gt;"",AQ25='Official Results'!C20),1,0)+IF(AND(AR25&lt;&gt;"",'Official Results'!C21&lt;&gt;"",AR25='Official Results'!C21),1,0)+IF(AND(AS25&lt;&gt;"",'Official Results'!C22&lt;&gt;"",'Official Results'!G22="Yes",AS25='Official Results'!C22),1,0)</f>
        <v>0</v>
      </c>
      <c r="AV25" s="101"/>
      <c r="AW25" s="102"/>
      <c r="AX25" s="103"/>
      <c r="AY25" s="68">
        <f>IF(AND(AV25&lt;&gt;"",'Official Results'!J20&lt;&gt;""),IF(AV25='Official Results'!J20,'Instructions &amp; Rules'!$K$4,IF(AV25='Official Results'!J21,'Instructions &amp; Rules'!$K$6,0)),0)+IF(AND(AW25&lt;&gt;"",'Official Results'!J21&lt;&gt;""),IF(AW25='Official Results'!J21,'Instructions &amp; Rules'!$K$5,IF(AW25='Official Results'!J20,'Instructions &amp; Rules'!$K$6,0)),0)+IF(AND(AX25&lt;&gt;"",'Official Results'!J22&lt;&gt;"",'Official Results'!N22="Yes"),IF(AX25='Official Results'!J22,'Instructions &amp; Rules'!$K$7,0),0)+IF(AND(AV25='Official Results'!J20,AW25='Official Results'!J21,'Official Results'!J20&lt;&gt;"",'Official Results'!J21&lt;&gt;""),'Instructions &amp; Rules'!$K$8,0)+IF(AND(AV25='Official Results'!J20,AW25='Official Results'!J21,AX25='Official Results'!J22,'Official Results'!N22="Yes"),'Instructions &amp; Rules'!$K$9,0)</f>
        <v>0</v>
      </c>
      <c r="AZ25" s="69">
        <f>IF(AND(AV25&lt;&gt;"",'Official Results'!J20&lt;&gt;"",AV25='Official Results'!J20),1,0)+IF(AND(AW25&lt;&gt;"",'Official Results'!J21&lt;&gt;"",AW25='Official Results'!J21),1,0)+IF(AND(AX25&lt;&gt;"",'Official Results'!J22&lt;&gt;"",'Official Results'!N22="Yes",AX25='Official Results'!J22),1,0)</f>
        <v>0</v>
      </c>
      <c r="BA25" s="101"/>
      <c r="BB25" s="102"/>
      <c r="BC25" s="103"/>
      <c r="BD25" s="68">
        <f>IF(AND(BA25&lt;&gt;"",'Official Results'!Q20&lt;&gt;""),IF(BA25='Official Results'!Q20,'Instructions &amp; Rules'!$K$4,IF(BA25='Official Results'!Q21,'Instructions &amp; Rules'!$K$6,0)),0)+IF(AND(BB25&lt;&gt;"",'Official Results'!Q21&lt;&gt;""),IF(BB25='Official Results'!Q21,'Instructions &amp; Rules'!$K$5,IF(BB25='Official Results'!Q20,'Instructions &amp; Rules'!$K$6,0)),0)+IF(AND(BC25&lt;&gt;"",'Official Results'!Q22&lt;&gt;"",'Official Results'!U22="Yes"),IF(BC25='Official Results'!Q22,'Instructions &amp; Rules'!$K$7,0),0)+IF(AND(BA25='Official Results'!Q20,BB25='Official Results'!Q21,'Official Results'!Q20&lt;&gt;"",'Official Results'!Q21&lt;&gt;""),'Instructions &amp; Rules'!$K$8,0)+IF(AND(BA25='Official Results'!Q20,BB25='Official Results'!Q21,BC25='Official Results'!Q22,'Official Results'!U22="Yes"),'Instructions &amp; Rules'!$K$9,0)</f>
        <v>0</v>
      </c>
      <c r="BE25" s="69">
        <f>IF(AND(BA25&lt;&gt;"",'Official Results'!Q20&lt;&gt;"",BA25='Official Results'!Q20),1,0)+IF(AND(BB25&lt;&gt;"",'Official Results'!Q21&lt;&gt;"",BB25='Official Results'!Q21),1,0)+IF(AND(BC25&lt;&gt;"",'Official Results'!Q22&lt;&gt;"",'Official Results'!U22="Yes",BC25='Official Results'!Q22),1,0)</f>
        <v>0</v>
      </c>
      <c r="BF25" s="101"/>
      <c r="BG25" s="102"/>
      <c r="BH25" s="103"/>
      <c r="BI25" s="68">
        <f>IF(AND(BF25&lt;&gt;"",'Official Results'!X20&lt;&gt;""),IF(BF25='Official Results'!X20,'Instructions &amp; Rules'!$K$4,IF(BF25='Official Results'!X21,'Instructions &amp; Rules'!$K$6,0)),0)+IF(AND(BG25&lt;&gt;"",'Official Results'!X21&lt;&gt;""),IF(BG25='Official Results'!X21,'Instructions &amp; Rules'!$K$5,IF(BG25='Official Results'!X20,'Instructions &amp; Rules'!$K$6,0)),0)+IF(AND(BH25&lt;&gt;"",'Official Results'!X22&lt;&gt;"",'Official Results'!AB22="Yes"),IF(BH25='Official Results'!X22,'Instructions &amp; Rules'!$K$7,0),0)+IF(AND(BF25='Official Results'!X20,BG25='Official Results'!X21,'Official Results'!X20&lt;&gt;"",'Official Results'!X21&lt;&gt;""),'Instructions &amp; Rules'!$K$8,0)+IF(AND(BF25='Official Results'!X20,BG25='Official Results'!X21,BH25='Official Results'!X22,'Official Results'!AB22="Yes"),'Instructions &amp; Rules'!$K$9,0)</f>
        <v>0</v>
      </c>
      <c r="BJ25" s="69">
        <f>IF(AND(BF25&lt;&gt;"",'Official Results'!X20&lt;&gt;"",BF25='Official Results'!X20),1,0)+IF(AND(BG25&lt;&gt;"",'Official Results'!X21&lt;&gt;"",BG25='Official Results'!X21),1,0)+IF(AND(BH25&lt;&gt;"",'Official Results'!X22&lt;&gt;"",'Official Results'!AB22="Yes",BH25='Official Results'!X22),1,0)</f>
        <v>0</v>
      </c>
      <c r="BK25" s="70">
        <f t="shared" si="0"/>
        <v>0</v>
      </c>
      <c r="BL25" s="71">
        <f t="shared" si="1"/>
        <v>0</v>
      </c>
      <c r="BM25" s="72">
        <f t="shared" si="2"/>
        <v>0</v>
      </c>
    </row>
  </sheetData>
  <sheetProtection algorithmName="SHA-512" hashValue="DBHHxqHqC2CM3oev4pFmEgNWh8HpOzH3CxLH1p3cmGxkUFPZvNdBvwB/I/G40wqDBm4t7uM1+z708TokVCVYvA==" saltValue="qVA3BZCBjjTB58a0pzSvrQ==" spinCount="100000" sheet="1" objects="1" scenarios="1"/>
  <mergeCells count="14">
    <mergeCell ref="A1:BM2"/>
    <mergeCell ref="R3:V3"/>
    <mergeCell ref="AV3:AZ3"/>
    <mergeCell ref="C3:G3"/>
    <mergeCell ref="A4:BM4"/>
    <mergeCell ref="H3:L3"/>
    <mergeCell ref="W3:AA3"/>
    <mergeCell ref="AL3:AP3"/>
    <mergeCell ref="BA3:BE3"/>
    <mergeCell ref="BF3:BJ3"/>
    <mergeCell ref="M3:Q3"/>
    <mergeCell ref="AB3:AF3"/>
    <mergeCell ref="AG3:AK3"/>
    <mergeCell ref="AQ3:AU3"/>
  </mergeCells>
  <dataValidations count="12">
    <dataValidation type="list" allowBlank="1" error="Please choose a team from Group A." prompt="Select a team from Group A only." sqref="C6:E25" xr:uid="{00000000-0002-0000-0300-000000000000}">
      <formula1>GroupA_Teams</formula1>
    </dataValidation>
    <dataValidation type="list" allowBlank="1" error="Please choose a team from Group B." prompt="Select a team from Group B only." sqref="H6:J25" xr:uid="{00000000-0002-0000-0300-000001000000}">
      <formula1>GroupB_Teams</formula1>
    </dataValidation>
    <dataValidation type="list" allowBlank="1" error="Please choose a team from Group C." prompt="Select a team from Group C only." sqref="M6:O25" xr:uid="{00000000-0002-0000-0300-000002000000}">
      <formula1>GroupC_Teams</formula1>
    </dataValidation>
    <dataValidation type="list" allowBlank="1" error="Please choose a team from Group D." prompt="Select a team from Group D only." sqref="R6:T25" xr:uid="{00000000-0002-0000-0300-000003000000}">
      <formula1>GroupD_Teams</formula1>
    </dataValidation>
    <dataValidation type="list" allowBlank="1" error="Please choose a team from Group E." prompt="Select a team from Group E only." sqref="W6:Y25" xr:uid="{00000000-0002-0000-0300-000004000000}">
      <formula1>GroupE_Teams</formula1>
    </dataValidation>
    <dataValidation type="list" allowBlank="1" error="Please choose a team from Group F." prompt="Select a team from Group F only." sqref="AB6:AD25" xr:uid="{00000000-0002-0000-0300-000005000000}">
      <formula1>GroupF_Teams</formula1>
    </dataValidation>
    <dataValidation type="list" allowBlank="1" error="Please choose a team from Group G." prompt="Select a team from Group G only." sqref="AG6:AI25" xr:uid="{00000000-0002-0000-0300-000006000000}">
      <formula1>GroupG_Teams</formula1>
    </dataValidation>
    <dataValidation type="list" allowBlank="1" error="Please choose a team from Group H." prompt="Select a team from Group H only." sqref="AL6:AN25" xr:uid="{00000000-0002-0000-0300-000007000000}">
      <formula1>GroupH_Teams</formula1>
    </dataValidation>
    <dataValidation type="list" allowBlank="1" error="Please choose a team from Group I." prompt="Select a team from Group I only." sqref="AQ6:AS25" xr:uid="{00000000-0002-0000-0300-000008000000}">
      <formula1>GroupI_Teams</formula1>
    </dataValidation>
    <dataValidation type="list" allowBlank="1" error="Please choose a team from Group J." prompt="Select a team from Group J only." sqref="AV6:AX25" xr:uid="{00000000-0002-0000-0300-000009000000}">
      <formula1>GroupJ_Teams</formula1>
    </dataValidation>
    <dataValidation type="list" allowBlank="1" error="Please choose a team from Group K." prompt="Select a team from Group K only." sqref="BA6:BC25" xr:uid="{00000000-0002-0000-0300-00000A000000}">
      <formula1>GroupK_Teams</formula1>
    </dataValidation>
    <dataValidation type="list" allowBlank="1" error="Please choose a team from Group L." prompt="Select a team from Group L only." sqref="BF6:BH25" xr:uid="{00000000-0002-0000-0300-00000B000000}">
      <formula1>GroupL_Teams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U25"/>
  <sheetViews>
    <sheetView showGridLines="0" zoomScaleNormal="100" workbookViewId="0">
      <selection activeCell="F18" sqref="F18"/>
    </sheetView>
  </sheetViews>
  <sheetFormatPr defaultColWidth="8.7109375" defaultRowHeight="15" customHeight="1"/>
  <cols>
    <col min="1" max="1" width="24.5703125" bestFit="1" customWidth="1"/>
    <col min="2" max="2" width="11.7109375" bestFit="1" customWidth="1"/>
    <col min="3" max="3" width="6.140625" bestFit="1" customWidth="1"/>
    <col min="4" max="4" width="9.140625" bestFit="1" customWidth="1"/>
    <col min="5" max="5" width="11.85546875" bestFit="1" customWidth="1"/>
    <col min="6" max="6" width="8" bestFit="1" customWidth="1"/>
    <col min="7" max="7" width="7" bestFit="1" customWidth="1"/>
    <col min="8" max="8" width="8.28515625" bestFit="1" customWidth="1"/>
    <col min="9" max="10" width="8.140625" bestFit="1" customWidth="1"/>
    <col min="11" max="11" width="12.85546875" bestFit="1" customWidth="1"/>
    <col min="12" max="12" width="5.85546875" bestFit="1" customWidth="1"/>
    <col min="13" max="13" width="8.42578125" bestFit="1" customWidth="1"/>
    <col min="14" max="14" width="11.28515625" bestFit="1" customWidth="1"/>
    <col min="15" max="15" width="8.85546875" bestFit="1" customWidth="1"/>
    <col min="16" max="16" width="9.7109375" bestFit="1" customWidth="1"/>
    <col min="17" max="17" width="9.42578125" bestFit="1" customWidth="1"/>
    <col min="18" max="18" width="10.140625" bestFit="1" customWidth="1"/>
    <col min="19" max="19" width="7.7109375" bestFit="1" customWidth="1"/>
    <col min="20" max="20" width="12" customWidth="1"/>
  </cols>
  <sheetData>
    <row r="1" spans="1:21" ht="15" customHeight="1">
      <c r="A1" s="162" t="s">
        <v>275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3"/>
    </row>
    <row r="2" spans="1:21" ht="15" customHeight="1">
      <c r="A2" s="234"/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6"/>
    </row>
    <row r="4" spans="1:21" ht="15" customHeight="1">
      <c r="A4" s="171" t="s">
        <v>276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</row>
    <row r="5" spans="1:21" ht="28.35" customHeight="1">
      <c r="A5" s="63" t="s">
        <v>267</v>
      </c>
      <c r="B5" s="55" t="s">
        <v>234</v>
      </c>
      <c r="C5" s="45" t="s">
        <v>235</v>
      </c>
      <c r="D5" s="55" t="s">
        <v>236</v>
      </c>
      <c r="E5" s="45" t="s">
        <v>237</v>
      </c>
      <c r="F5" s="55" t="s">
        <v>238</v>
      </c>
      <c r="G5" s="45" t="s">
        <v>239</v>
      </c>
      <c r="H5" s="55" t="s">
        <v>240</v>
      </c>
      <c r="I5" s="45" t="s">
        <v>241</v>
      </c>
      <c r="J5" s="55" t="s">
        <v>242</v>
      </c>
      <c r="K5" s="45" t="s">
        <v>243</v>
      </c>
      <c r="L5" s="55" t="s">
        <v>244</v>
      </c>
      <c r="M5" s="45" t="s">
        <v>245</v>
      </c>
      <c r="N5" s="55" t="s">
        <v>246</v>
      </c>
      <c r="O5" s="45" t="s">
        <v>247</v>
      </c>
      <c r="P5" s="55" t="s">
        <v>248</v>
      </c>
      <c r="Q5" s="45" t="s">
        <v>249</v>
      </c>
      <c r="R5" s="64" t="s">
        <v>277</v>
      </c>
      <c r="S5" s="65" t="s">
        <v>278</v>
      </c>
      <c r="T5" s="66" t="s">
        <v>274</v>
      </c>
    </row>
    <row r="6" spans="1:21" ht="15" customHeight="1">
      <c r="A6" s="75" t="str">
        <f>IF(Players!B6="","",Players!B6)</f>
        <v>Febby Yudhi Pratama</v>
      </c>
      <c r="B6" s="104" t="s">
        <v>169</v>
      </c>
      <c r="C6" s="104" t="s">
        <v>174</v>
      </c>
      <c r="D6" s="104" t="s">
        <v>184</v>
      </c>
      <c r="E6" s="104" t="s">
        <v>189</v>
      </c>
      <c r="F6" s="104" t="s">
        <v>207</v>
      </c>
      <c r="G6" s="104" t="s">
        <v>204</v>
      </c>
      <c r="H6" s="104" t="s">
        <v>157</v>
      </c>
      <c r="I6" s="104" t="s">
        <v>219</v>
      </c>
      <c r="J6" s="104" t="s">
        <v>205</v>
      </c>
      <c r="K6" s="104" t="s">
        <v>179</v>
      </c>
      <c r="L6" s="104" t="s">
        <v>199</v>
      </c>
      <c r="M6" s="104" t="s">
        <v>215</v>
      </c>
      <c r="N6" s="104" t="s">
        <v>172</v>
      </c>
      <c r="O6" s="104" t="s">
        <v>195</v>
      </c>
      <c r="P6" s="104" t="s">
        <v>209</v>
      </c>
      <c r="Q6" s="104" t="s">
        <v>214</v>
      </c>
      <c r="R6" s="70" cm="1">
        <f t="array" ref="R6">SUMPRODUCT(--(B6:Q6&lt;&gt;""),--(B6:Q6=_xlfn.XLOOKUP(B$5:Q$5,'Official Results'!$A$207:$A$222,'Official Results'!$F$207:$F$222,"")))*'Instructions &amp; Rules'!$K$10</f>
        <v>26</v>
      </c>
      <c r="S6" s="70" cm="1">
        <f t="array" ref="S6">SUMPRODUCT(--(B6:Q6&lt;&gt;""),--(B6:Q6=_xlfn.XLOOKUP(B$5:Q$5,'Official Results'!$A$207:$A$222,'Official Results'!$F$207:$F$222,"")))</f>
        <v>13</v>
      </c>
      <c r="T6" s="72">
        <f>COUNTIF(B6:Q6,"&lt;&gt;")/16</f>
        <v>1</v>
      </c>
      <c r="U6" s="72"/>
    </row>
    <row r="7" spans="1:21" ht="15" customHeight="1">
      <c r="A7" s="75" t="str">
        <f>IF(Players!B7="","",Players!B7)</f>
        <v>Fathan Mauludin</v>
      </c>
      <c r="B7" s="104" t="s">
        <v>169</v>
      </c>
      <c r="C7" s="104" t="s">
        <v>174</v>
      </c>
      <c r="D7" s="104" t="s">
        <v>184</v>
      </c>
      <c r="E7" s="104" t="s">
        <v>189</v>
      </c>
      <c r="F7" s="104" t="s">
        <v>207</v>
      </c>
      <c r="G7" s="104" t="s">
        <v>204</v>
      </c>
      <c r="H7" s="104" t="s">
        <v>157</v>
      </c>
      <c r="I7" s="104" t="s">
        <v>219</v>
      </c>
      <c r="J7" s="104" t="s">
        <v>205</v>
      </c>
      <c r="K7" s="104" t="s">
        <v>179</v>
      </c>
      <c r="L7" s="104" t="s">
        <v>199</v>
      </c>
      <c r="M7" s="104" t="s">
        <v>215</v>
      </c>
      <c r="N7" s="104" t="s">
        <v>172</v>
      </c>
      <c r="O7" s="104" t="s">
        <v>195</v>
      </c>
      <c r="P7" s="104" t="s">
        <v>209</v>
      </c>
      <c r="Q7" s="104" t="s">
        <v>214</v>
      </c>
      <c r="R7" s="70" cm="1">
        <f t="array" ref="R7">SUMPRODUCT(--(B7:Q7&lt;&gt;""),--(B7:Q7=_xlfn.XLOOKUP(B$5:Q$5,'Official Results'!$A$207:$A$222,'Official Results'!$F$207:$F$222,"")))*'Instructions &amp; Rules'!$K$10</f>
        <v>26</v>
      </c>
      <c r="S7" s="70" cm="1">
        <f t="array" ref="S7">SUMPRODUCT(--(B7:Q7&lt;&gt;""),--(B7:Q7=_xlfn.XLOOKUP(B$5:Q$5,'Official Results'!$A$207:$A$222,'Official Results'!$F$207:$F$222,"")))</f>
        <v>13</v>
      </c>
      <c r="T7" s="72">
        <f>COUNTIF(B7:Q7,"&lt;&gt;")/16</f>
        <v>1</v>
      </c>
      <c r="U7" s="72"/>
    </row>
    <row r="8" spans="1:21" ht="15" customHeight="1">
      <c r="A8" s="75" t="str">
        <f>IF(Players!B8="","",Players!B8)</f>
        <v>M Fakhri Auladana</v>
      </c>
      <c r="B8" s="104" t="s">
        <v>169</v>
      </c>
      <c r="C8" s="104" t="s">
        <v>174</v>
      </c>
      <c r="D8" s="104" t="s">
        <v>184</v>
      </c>
      <c r="E8" s="104" t="s">
        <v>189</v>
      </c>
      <c r="F8" s="104" t="s">
        <v>207</v>
      </c>
      <c r="G8" s="104" t="s">
        <v>204</v>
      </c>
      <c r="H8" s="104" t="s">
        <v>157</v>
      </c>
      <c r="I8" s="104" t="s">
        <v>219</v>
      </c>
      <c r="J8" s="104" t="s">
        <v>194</v>
      </c>
      <c r="K8" s="104" t="s">
        <v>179</v>
      </c>
      <c r="L8" s="104" t="s">
        <v>199</v>
      </c>
      <c r="M8" s="104" t="s">
        <v>215</v>
      </c>
      <c r="N8" s="104" t="s">
        <v>172</v>
      </c>
      <c r="O8" s="104" t="s">
        <v>195</v>
      </c>
      <c r="P8" s="104" t="s">
        <v>209</v>
      </c>
      <c r="Q8" s="104" t="s">
        <v>214</v>
      </c>
      <c r="R8" s="70" cm="1">
        <f t="array" ref="R8">SUMPRODUCT(--(B8:Q8&lt;&gt;""),--(B8:Q8=_xlfn.XLOOKUP(B$5:Q$5,'Official Results'!$A$207:$A$222,'Official Results'!$F$207:$F$222,"")))*'Instructions &amp; Rules'!$K$10</f>
        <v>28</v>
      </c>
      <c r="S8" s="70" cm="1">
        <f t="array" ref="S8">SUMPRODUCT(--(B8:Q8&lt;&gt;""),--(B8:Q8=_xlfn.XLOOKUP(B$5:Q$5,'Official Results'!$A$207:$A$222,'Official Results'!$F$207:$F$222,"")))</f>
        <v>14</v>
      </c>
      <c r="T8" s="72">
        <f>COUNTIF(B8:Q8,"&lt;&gt;")/16</f>
        <v>1</v>
      </c>
      <c r="U8" s="72"/>
    </row>
    <row r="9" spans="1:21" ht="15" customHeight="1">
      <c r="A9" s="75" t="str">
        <f>IF(Players!B9="","",Players!B9)</f>
        <v>Muhammad Naufal Aiman</v>
      </c>
      <c r="B9" s="104" t="s">
        <v>169</v>
      </c>
      <c r="C9" s="104" t="s">
        <v>174</v>
      </c>
      <c r="D9" s="104" t="s">
        <v>184</v>
      </c>
      <c r="E9" s="104" t="s">
        <v>189</v>
      </c>
      <c r="F9" s="104" t="s">
        <v>207</v>
      </c>
      <c r="G9" s="104" t="s">
        <v>204</v>
      </c>
      <c r="H9" s="104" t="s">
        <v>157</v>
      </c>
      <c r="I9" s="104" t="s">
        <v>219</v>
      </c>
      <c r="J9" s="104" t="s">
        <v>194</v>
      </c>
      <c r="K9" s="104" t="s">
        <v>179</v>
      </c>
      <c r="L9" s="104" t="s">
        <v>199</v>
      </c>
      <c r="M9" s="104" t="s">
        <v>215</v>
      </c>
      <c r="N9" s="104" t="s">
        <v>172</v>
      </c>
      <c r="O9" s="104" t="s">
        <v>195</v>
      </c>
      <c r="P9" s="104" t="s">
        <v>209</v>
      </c>
      <c r="Q9" s="104" t="s">
        <v>214</v>
      </c>
      <c r="R9" s="70" cm="1">
        <f t="array" ref="R9">SUMPRODUCT(--(B9:Q9&lt;&gt;""),--(B9:Q9=_xlfn.XLOOKUP(B$5:Q$5,'Official Results'!$A$207:$A$222,'Official Results'!$F$207:$F$222,"")))*'Instructions &amp; Rules'!$K$10</f>
        <v>28</v>
      </c>
      <c r="S9" s="70" cm="1">
        <f t="array" ref="S9">SUMPRODUCT(--(B9:Q9&lt;&gt;""),--(B9:Q9=_xlfn.XLOOKUP(B$5:Q$5,'Official Results'!$A$207:$A$222,'Official Results'!$F$207:$F$222,"")))</f>
        <v>14</v>
      </c>
      <c r="T9" s="72">
        <f>COUNTIF(B9:Q9,"&lt;&gt;")/16</f>
        <v>1</v>
      </c>
      <c r="U9" s="72"/>
    </row>
    <row r="10" spans="1:21" ht="15" customHeight="1">
      <c r="A10" s="75" t="str">
        <f>IF(Players!B10="","",Players!B10)</f>
        <v>Ahade</v>
      </c>
      <c r="B10" s="104" t="s">
        <v>169</v>
      </c>
      <c r="C10" s="104" t="s">
        <v>190</v>
      </c>
      <c r="D10" s="104" t="s">
        <v>184</v>
      </c>
      <c r="E10" s="104" t="s">
        <v>176</v>
      </c>
      <c r="F10" s="104" t="s">
        <v>207</v>
      </c>
      <c r="G10" s="104" t="s">
        <v>204</v>
      </c>
      <c r="H10" s="104" t="s">
        <v>157</v>
      </c>
      <c r="I10" s="104" t="s">
        <v>219</v>
      </c>
      <c r="J10" s="104" t="s">
        <v>194</v>
      </c>
      <c r="K10" s="104" t="s">
        <v>179</v>
      </c>
      <c r="L10" s="104" t="s">
        <v>199</v>
      </c>
      <c r="M10" s="104" t="s">
        <v>215</v>
      </c>
      <c r="N10" s="104" t="s">
        <v>172</v>
      </c>
      <c r="O10" s="104" t="s">
        <v>195</v>
      </c>
      <c r="P10" s="104" t="s">
        <v>209</v>
      </c>
      <c r="Q10" s="104" t="s">
        <v>221</v>
      </c>
      <c r="R10" s="70" cm="1">
        <f t="array" ref="R10">SUMPRODUCT(--(B10:Q10&lt;&gt;""),--(B10:Q10=_xlfn.XLOOKUP(B$5:Q$5,'Official Results'!$A$207:$A$222,'Official Results'!$F$207:$F$222,"")))*'Instructions &amp; Rules'!$K$10</f>
        <v>26</v>
      </c>
      <c r="S10" s="70" cm="1">
        <f t="array" ref="S10">SUMPRODUCT(--(B10:Q10&lt;&gt;""),--(B10:Q10=_xlfn.XLOOKUP(B$5:Q$5,'Official Results'!$A$207:$A$222,'Official Results'!$F$207:$F$222,"")))</f>
        <v>13</v>
      </c>
      <c r="T10" s="72">
        <f>COUNTIF(B10:Q10,"&lt;&gt;")/16</f>
        <v>1</v>
      </c>
      <c r="U10" s="72"/>
    </row>
    <row r="11" spans="1:21" ht="15" customHeight="1">
      <c r="A11" s="75" t="str">
        <f>IF(Players!B11="","",Players!B11)</f>
        <v>Aldy</v>
      </c>
      <c r="B11" s="104" t="s">
        <v>169</v>
      </c>
      <c r="C11" s="104" t="s">
        <v>174</v>
      </c>
      <c r="D11" s="104" t="s">
        <v>184</v>
      </c>
      <c r="E11" s="104" t="s">
        <v>189</v>
      </c>
      <c r="F11" s="104" t="s">
        <v>207</v>
      </c>
      <c r="G11" s="104" t="s">
        <v>204</v>
      </c>
      <c r="H11" s="104" t="s">
        <v>157</v>
      </c>
      <c r="I11" s="104" t="s">
        <v>219</v>
      </c>
      <c r="J11" s="104" t="s">
        <v>194</v>
      </c>
      <c r="K11" s="104" t="s">
        <v>179</v>
      </c>
      <c r="L11" s="104" t="s">
        <v>199</v>
      </c>
      <c r="M11" s="104" t="s">
        <v>215</v>
      </c>
      <c r="N11" s="104" t="s">
        <v>172</v>
      </c>
      <c r="O11" s="104" t="s">
        <v>195</v>
      </c>
      <c r="P11" s="104" t="s">
        <v>209</v>
      </c>
      <c r="Q11" s="104" t="s">
        <v>214</v>
      </c>
      <c r="R11" s="70" cm="1">
        <f t="array" ref="R11">SUMPRODUCT(--(B11:Q11&lt;&gt;""),--(B11:Q11=_xlfn.XLOOKUP(B$5:Q$5,'Official Results'!$A$207:$A$222,'Official Results'!$F$207:$F$222,"")))*'Instructions &amp; Rules'!$K$10</f>
        <v>28</v>
      </c>
      <c r="S11" s="70" cm="1">
        <f t="array" ref="S11">SUMPRODUCT(--(B11:Q11&lt;&gt;""),--(B11:Q11=_xlfn.XLOOKUP(B$5:Q$5,'Official Results'!$A$207:$A$222,'Official Results'!$F$207:$F$222,"")))</f>
        <v>14</v>
      </c>
      <c r="T11" s="72">
        <f>COUNTIF(B11:Q11,"&lt;&gt;")/16</f>
        <v>1</v>
      </c>
      <c r="U11" s="72"/>
    </row>
    <row r="12" spans="1:21" ht="15" customHeight="1">
      <c r="A12" s="75" t="str">
        <f>IF(Players!B12="","",Players!B12)</f>
        <v>Affaninho</v>
      </c>
      <c r="B12" s="104" t="s">
        <v>169</v>
      </c>
      <c r="C12" s="104" t="s">
        <v>174</v>
      </c>
      <c r="D12" s="104" t="s">
        <v>184</v>
      </c>
      <c r="E12" s="104" t="s">
        <v>176</v>
      </c>
      <c r="F12" s="104" t="s">
        <v>207</v>
      </c>
      <c r="G12" s="104" t="s">
        <v>204</v>
      </c>
      <c r="H12" s="104" t="s">
        <v>157</v>
      </c>
      <c r="I12" s="104" t="s">
        <v>219</v>
      </c>
      <c r="J12" s="104" t="s">
        <v>194</v>
      </c>
      <c r="K12" s="104" t="s">
        <v>179</v>
      </c>
      <c r="L12" s="104" t="s">
        <v>199</v>
      </c>
      <c r="M12" s="104" t="s">
        <v>215</v>
      </c>
      <c r="N12" s="104" t="s">
        <v>172</v>
      </c>
      <c r="O12" s="104" t="s">
        <v>195</v>
      </c>
      <c r="P12" s="104" t="s">
        <v>209</v>
      </c>
      <c r="Q12" s="104" t="s">
        <v>214</v>
      </c>
      <c r="R12" s="70" cm="1">
        <f t="array" ref="R12">SUMPRODUCT(--(B12:Q12&lt;&gt;""),--(B12:Q12=_xlfn.XLOOKUP(B$5:Q$5,'Official Results'!$A$207:$A$222,'Official Results'!$F$207:$F$222,"")))*'Instructions &amp; Rules'!$K$10</f>
        <v>30</v>
      </c>
      <c r="S12" s="70" cm="1">
        <f t="array" ref="S12">SUMPRODUCT(--(B12:Q12&lt;&gt;""),--(B12:Q12=_xlfn.XLOOKUP(B$5:Q$5,'Official Results'!$A$207:$A$222,'Official Results'!$F$207:$F$222,"")))</f>
        <v>15</v>
      </c>
      <c r="T12" s="72">
        <f>COUNTIF(B12:Q12,"&lt;&gt;")/16</f>
        <v>1</v>
      </c>
      <c r="U12" s="72"/>
    </row>
    <row r="13" spans="1:21" ht="15" customHeight="1">
      <c r="A13" s="75" t="str">
        <f>IF(Players!B13="","",Players!B13)</f>
        <v>Aji</v>
      </c>
      <c r="B13" s="104" t="s">
        <v>158</v>
      </c>
      <c r="C13" s="104" t="s">
        <v>174</v>
      </c>
      <c r="D13" s="104" t="s">
        <v>184</v>
      </c>
      <c r="E13" s="104" t="s">
        <v>189</v>
      </c>
      <c r="F13" s="104" t="s">
        <v>207</v>
      </c>
      <c r="G13" s="104" t="s">
        <v>204</v>
      </c>
      <c r="H13" s="104" t="s">
        <v>187</v>
      </c>
      <c r="I13" s="104" t="s">
        <v>219</v>
      </c>
      <c r="J13" s="104" t="s">
        <v>205</v>
      </c>
      <c r="K13" s="104" t="s">
        <v>179</v>
      </c>
      <c r="L13" s="104" t="s">
        <v>199</v>
      </c>
      <c r="M13" s="104" t="s">
        <v>215</v>
      </c>
      <c r="N13" s="104" t="s">
        <v>172</v>
      </c>
      <c r="O13" s="104" t="s">
        <v>180</v>
      </c>
      <c r="P13" s="104" t="s">
        <v>209</v>
      </c>
      <c r="Q13" s="104" t="s">
        <v>221</v>
      </c>
      <c r="R13" s="70" cm="1">
        <f t="array" ref="R13">SUMPRODUCT(--(B13:Q13&lt;&gt;""),--(B13:Q13=_xlfn.XLOOKUP(B$5:Q$5,'Official Results'!$A$207:$A$222,'Official Results'!$F$207:$F$222,"")))*'Instructions &amp; Rules'!$K$10</f>
        <v>18</v>
      </c>
      <c r="S13" s="70" cm="1">
        <f t="array" ref="S13">SUMPRODUCT(--(B13:Q13&lt;&gt;""),--(B13:Q13=_xlfn.XLOOKUP(B$5:Q$5,'Official Results'!$A$207:$A$222,'Official Results'!$F$207:$F$222,"")))</f>
        <v>9</v>
      </c>
      <c r="T13" s="72">
        <f>COUNTIF(B13:Q13,"&lt;&gt;")/16</f>
        <v>1</v>
      </c>
      <c r="U13" s="72"/>
    </row>
    <row r="14" spans="1:21" ht="15" customHeight="1">
      <c r="A14" s="75" t="str">
        <f>IF(Players!B14="","",Players!B14)</f>
        <v>Dausman</v>
      </c>
      <c r="B14" s="104" t="s">
        <v>169</v>
      </c>
      <c r="C14" s="104" t="s">
        <v>174</v>
      </c>
      <c r="D14" s="104" t="s">
        <v>184</v>
      </c>
      <c r="E14" s="104" t="s">
        <v>189</v>
      </c>
      <c r="F14" s="104" t="s">
        <v>207</v>
      </c>
      <c r="G14" s="104" t="s">
        <v>204</v>
      </c>
      <c r="H14" s="104" t="s">
        <v>157</v>
      </c>
      <c r="I14" s="104" t="s">
        <v>219</v>
      </c>
      <c r="J14" s="104" t="s">
        <v>205</v>
      </c>
      <c r="K14" s="104" t="s">
        <v>179</v>
      </c>
      <c r="L14" s="104" t="s">
        <v>199</v>
      </c>
      <c r="M14" s="104" t="s">
        <v>215</v>
      </c>
      <c r="N14" s="104" t="s">
        <v>172</v>
      </c>
      <c r="O14" s="104" t="s">
        <v>195</v>
      </c>
      <c r="P14" s="104" t="s">
        <v>209</v>
      </c>
      <c r="Q14" s="104" t="s">
        <v>214</v>
      </c>
      <c r="R14" s="70" cm="1">
        <f t="array" ref="R14">SUMPRODUCT(--(B14:Q14&lt;&gt;""),--(B14:Q14=_xlfn.XLOOKUP(B$5:Q$5,'Official Results'!$A$207:$A$222,'Official Results'!$F$207:$F$222,"")))*'Instructions &amp; Rules'!$K$10</f>
        <v>26</v>
      </c>
      <c r="S14" s="70" cm="1">
        <f t="array" ref="S14">SUMPRODUCT(--(B14:Q14&lt;&gt;""),--(B14:Q14=_xlfn.XLOOKUP(B$5:Q$5,'Official Results'!$A$207:$A$222,'Official Results'!$F$207:$F$222,"")))</f>
        <v>13</v>
      </c>
      <c r="T14" s="72">
        <f>COUNTIF(B14:Q14,"&lt;&gt;")/16</f>
        <v>1</v>
      </c>
      <c r="U14" s="72"/>
    </row>
    <row r="15" spans="1:21" ht="15" customHeight="1">
      <c r="A15" s="75" t="str">
        <f>IF(Players!B15="","",Players!B15)</f>
        <v>Wawa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70" cm="1">
        <f t="array" ref="R15">SUMPRODUCT(--(B15:Q15&lt;&gt;""),--(B15:Q15=_xlfn.XLOOKUP(B$5:Q$5,'Official Results'!$A$207:$A$222,'Official Results'!$F$207:$F$222,"")))*'Instructions &amp; Rules'!$K$10</f>
        <v>0</v>
      </c>
      <c r="S15" s="70" cm="1">
        <f t="array" ref="S15">SUMPRODUCT(--(B15:Q15&lt;&gt;""),--(B15:Q15=_xlfn.XLOOKUP(B$5:Q$5,'Official Results'!$A$207:$A$222,'Official Results'!$F$207:$F$222,"")))</f>
        <v>0</v>
      </c>
      <c r="T15" s="72">
        <f>COUNTIF(B15:Q15,"&lt;&gt;")/16</f>
        <v>0</v>
      </c>
      <c r="U15" s="72"/>
    </row>
    <row r="16" spans="1:21" ht="15" customHeight="1">
      <c r="A16" s="75" t="str">
        <f>IF(Players!B16="","",Players!B16)</f>
        <v>Player 11</v>
      </c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70" cm="1">
        <f t="array" ref="R16">SUMPRODUCT(--(B16:Q16&lt;&gt;""),--(B16:Q16=_xlfn.XLOOKUP(B$5:Q$5,'Official Results'!$A$207:$A$222,'Official Results'!$F$207:$F$222,"")))*'Instructions &amp; Rules'!$K$10</f>
        <v>0</v>
      </c>
      <c r="S16" s="70" cm="1">
        <f t="array" ref="S16">SUMPRODUCT(--(B16:Q16&lt;&gt;""),--(B16:Q16=_xlfn.XLOOKUP(B$5:Q$5,'Official Results'!$A$207:$A$222,'Official Results'!$F$207:$F$222,"")))</f>
        <v>0</v>
      </c>
      <c r="T16" s="72">
        <f>COUNTIF(B16:Q16,"&lt;&gt;")/16</f>
        <v>0</v>
      </c>
      <c r="U16" s="72"/>
    </row>
    <row r="17" spans="1:21" ht="15" customHeight="1">
      <c r="A17" s="75" t="str">
        <f>IF(Players!B17="","",Players!B17)</f>
        <v>Player 12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70" cm="1">
        <f t="array" ref="R17">SUMPRODUCT(--(B17:Q17&lt;&gt;""),--(B17:Q17=_xlfn.XLOOKUP(B$5:Q$5,'Official Results'!$A$207:$A$222,'Official Results'!$F$207:$F$222,"")))*'Instructions &amp; Rules'!$K$10</f>
        <v>0</v>
      </c>
      <c r="S17" s="70" cm="1">
        <f t="array" ref="S17">SUMPRODUCT(--(B17:Q17&lt;&gt;""),--(B17:Q17=_xlfn.XLOOKUP(B$5:Q$5,'Official Results'!$A$207:$A$222,'Official Results'!$F$207:$F$222,"")))</f>
        <v>0</v>
      </c>
      <c r="T17" s="72">
        <f>COUNTIF(B17:Q17,"&lt;&gt;")/16</f>
        <v>0</v>
      </c>
      <c r="U17" s="72"/>
    </row>
    <row r="18" spans="1:21" ht="15" customHeight="1">
      <c r="A18" s="75" t="str">
        <f>IF(Players!B18="","",Players!B18)</f>
        <v>Player 13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70" cm="1">
        <f t="array" ref="R18">SUMPRODUCT(--(B18:Q18&lt;&gt;""),--(B18:Q18=_xlfn.XLOOKUP(B$5:Q$5,'Official Results'!$A$207:$A$222,'Official Results'!$F$207:$F$222,"")))*'Instructions &amp; Rules'!$K$10</f>
        <v>0</v>
      </c>
      <c r="S18" s="70" cm="1">
        <f t="array" ref="S18">SUMPRODUCT(--(B18:Q18&lt;&gt;""),--(B18:Q18=_xlfn.XLOOKUP(B$5:Q$5,'Official Results'!$A$207:$A$222,'Official Results'!$F$207:$F$222,"")))</f>
        <v>0</v>
      </c>
      <c r="T18" s="72">
        <f>COUNTIF(B18:Q18,"&lt;&gt;")/16</f>
        <v>0</v>
      </c>
      <c r="U18" s="72"/>
    </row>
    <row r="19" spans="1:21" ht="15" customHeight="1">
      <c r="A19" s="75" t="str">
        <f>IF(Players!B19="","",Players!B19)</f>
        <v>Player 14</v>
      </c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70" cm="1">
        <f t="array" ref="R19">SUMPRODUCT(--(B19:Q19&lt;&gt;""),--(B19:Q19=_xlfn.XLOOKUP(B$5:Q$5,'Official Results'!$A$207:$A$222,'Official Results'!$F$207:$F$222,"")))*'Instructions &amp; Rules'!$K$10</f>
        <v>0</v>
      </c>
      <c r="S19" s="70" cm="1">
        <f t="array" ref="S19">SUMPRODUCT(--(B19:Q19&lt;&gt;""),--(B19:Q19=_xlfn.XLOOKUP(B$5:Q$5,'Official Results'!$A$207:$A$222,'Official Results'!$F$207:$F$222,"")))</f>
        <v>0</v>
      </c>
      <c r="T19" s="72">
        <f>COUNTIF(B19:Q19,"&lt;&gt;")/16</f>
        <v>0</v>
      </c>
      <c r="U19" s="72"/>
    </row>
    <row r="20" spans="1:21" ht="15" customHeight="1">
      <c r="A20" s="75" t="str">
        <f>IF(Players!B20="","",Players!B20)</f>
        <v>Player 15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70" cm="1">
        <f t="array" ref="R20">SUMPRODUCT(--(B20:Q20&lt;&gt;""),--(B20:Q20=_xlfn.XLOOKUP(B$5:Q$5,'Official Results'!$A$207:$A$222,'Official Results'!$F$207:$F$222,"")))*'Instructions &amp; Rules'!$K$10</f>
        <v>0</v>
      </c>
      <c r="S20" s="70" cm="1">
        <f t="array" ref="S20">SUMPRODUCT(--(B20:Q20&lt;&gt;""),--(B20:Q20=_xlfn.XLOOKUP(B$5:Q$5,'Official Results'!$A$207:$A$222,'Official Results'!$F$207:$F$222,"")))</f>
        <v>0</v>
      </c>
      <c r="T20" s="72">
        <f>COUNTIF(B20:Q20,"&lt;&gt;")/16</f>
        <v>0</v>
      </c>
      <c r="U20" s="72"/>
    </row>
    <row r="21" spans="1:21" ht="15" customHeight="1">
      <c r="A21" s="75" t="str">
        <f>IF(Players!B21="","",Players!B21)</f>
        <v>Player 16</v>
      </c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70" cm="1">
        <f t="array" ref="R21">SUMPRODUCT(--(B21:Q21&lt;&gt;""),--(B21:Q21=_xlfn.XLOOKUP(B$5:Q$5,'Official Results'!$A$207:$A$222,'Official Results'!$F$207:$F$222,"")))*'Instructions &amp; Rules'!$K$10</f>
        <v>0</v>
      </c>
      <c r="S21" s="70" cm="1">
        <f t="array" ref="S21">SUMPRODUCT(--(B21:Q21&lt;&gt;""),--(B21:Q21=_xlfn.XLOOKUP(B$5:Q$5,'Official Results'!$A$207:$A$222,'Official Results'!$F$207:$F$222,"")))</f>
        <v>0</v>
      </c>
      <c r="T21" s="72">
        <f>COUNTIF(B21:Q21,"&lt;&gt;")/16</f>
        <v>0</v>
      </c>
      <c r="U21" s="72"/>
    </row>
    <row r="22" spans="1:21" ht="15" customHeight="1">
      <c r="A22" s="75" t="str">
        <f>IF(Players!B22="","",Players!B22)</f>
        <v>Player 17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70" cm="1">
        <f t="array" ref="R22">SUMPRODUCT(--(B22:Q22&lt;&gt;""),--(B22:Q22=_xlfn.XLOOKUP(B$5:Q$5,'Official Results'!$A$207:$A$222,'Official Results'!$F$207:$F$222,"")))*'Instructions &amp; Rules'!$K$10</f>
        <v>0</v>
      </c>
      <c r="S22" s="70" cm="1">
        <f t="array" ref="S22">SUMPRODUCT(--(B22:Q22&lt;&gt;""),--(B22:Q22=_xlfn.XLOOKUP(B$5:Q$5,'Official Results'!$A$207:$A$222,'Official Results'!$F$207:$F$222,"")))</f>
        <v>0</v>
      </c>
      <c r="T22" s="72">
        <f>COUNTIF(B22:Q22,"&lt;&gt;")/16</f>
        <v>0</v>
      </c>
      <c r="U22" s="72"/>
    </row>
    <row r="23" spans="1:21" ht="15" customHeight="1">
      <c r="A23" s="75" t="str">
        <f>IF(Players!B23="","",Players!B23)</f>
        <v>Player 18</v>
      </c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70" cm="1">
        <f t="array" ref="R23">SUMPRODUCT(--(B23:Q23&lt;&gt;""),--(B23:Q23=_xlfn.XLOOKUP(B$5:Q$5,'Official Results'!$A$207:$A$222,'Official Results'!$F$207:$F$222,"")))*'Instructions &amp; Rules'!$K$10</f>
        <v>0</v>
      </c>
      <c r="S23" s="70" cm="1">
        <f t="array" ref="S23">SUMPRODUCT(--(B23:Q23&lt;&gt;""),--(B23:Q23=_xlfn.XLOOKUP(B$5:Q$5,'Official Results'!$A$207:$A$222,'Official Results'!$F$207:$F$222,"")))</f>
        <v>0</v>
      </c>
      <c r="T23" s="72">
        <f>COUNTIF(B23:Q23,"&lt;&gt;")/16</f>
        <v>0</v>
      </c>
      <c r="U23" s="72"/>
    </row>
    <row r="24" spans="1:21" ht="15" customHeight="1">
      <c r="A24" s="75" t="str">
        <f>IF(Players!B24="","",Players!B24)</f>
        <v>Player 19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70" cm="1">
        <f t="array" ref="R24">SUMPRODUCT(--(B24:Q24&lt;&gt;""),--(B24:Q24=_xlfn.XLOOKUP(B$5:Q$5,'Official Results'!$A$207:$A$222,'Official Results'!$F$207:$F$222,"")))*'Instructions &amp; Rules'!$K$10</f>
        <v>0</v>
      </c>
      <c r="S24" s="70" cm="1">
        <f t="array" ref="S24">SUMPRODUCT(--(B24:Q24&lt;&gt;""),--(B24:Q24=_xlfn.XLOOKUP(B$5:Q$5,'Official Results'!$A$207:$A$222,'Official Results'!$F$207:$F$222,"")))</f>
        <v>0</v>
      </c>
      <c r="T24" s="72">
        <f>COUNTIF(B24:Q24,"&lt;&gt;")/16</f>
        <v>0</v>
      </c>
      <c r="U24" s="72"/>
    </row>
    <row r="25" spans="1:21" ht="15" customHeight="1">
      <c r="A25" s="75" t="str">
        <f>IF(Players!B25="","",Players!B25)</f>
        <v>Player 20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70" cm="1">
        <f t="array" ref="R25">SUMPRODUCT(--(B25:Q25&lt;&gt;""),--(B25:Q25=_xlfn.XLOOKUP(B$5:Q$5,'Official Results'!$A$207:$A$222,'Official Results'!$F$207:$F$222,"")))*'Instructions &amp; Rules'!$K$10</f>
        <v>0</v>
      </c>
      <c r="S25" s="70" cm="1">
        <f t="array" ref="S25">SUMPRODUCT(--(B25:Q25&lt;&gt;""),--(B25:Q25=_xlfn.XLOOKUP(B$5:Q$5,'Official Results'!$A$207:$A$222,'Official Results'!$F$207:$F$222,"")))</f>
        <v>0</v>
      </c>
      <c r="T25" s="72">
        <f>COUNTIF(B25:Q25,"&lt;&gt;")/16</f>
        <v>0</v>
      </c>
      <c r="U25" s="72"/>
    </row>
  </sheetData>
  <sheetProtection algorithmName="SHA-512" hashValue="GMZAkx6qe875S6nny1RqjTN53aP1Gb/gMQ72TxDkr9WPILcwqdWpletO6E7dUqTyjTq81IqErAEN1DOExNMhFQ==" saltValue="akxy3c/tAzy8rSjMbfmwpA==" spinCount="100000" sheet="1" objects="1" scenarios="1"/>
  <mergeCells count="2">
    <mergeCell ref="A1:T2"/>
    <mergeCell ref="A4:T4"/>
  </mergeCells>
  <dataValidations count="16">
    <dataValidation type="list" allowBlank="1" errorTitle="Invalid selection" error="Please choose a team from the dropdown list." promptTitle="Choose team" prompt="Select one of the teams allowed for this match." sqref="B6:B25" xr:uid="{00000000-0002-0000-0400-000000000000}">
      <formula1>KO_R32_M73</formula1>
    </dataValidation>
    <dataValidation type="list" allowBlank="1" errorTitle="Invalid selection" error="Please choose a team from the dropdown list." promptTitle="Choose team" prompt="Select one of the teams allowed for this match." sqref="C6:C25" xr:uid="{00000000-0002-0000-0400-000001000000}">
      <formula1>KO_R32_M74</formula1>
    </dataValidation>
    <dataValidation type="list" allowBlank="1" errorTitle="Invalid selection" error="Please choose a team from the dropdown list." promptTitle="Choose team" prompt="Select one of the teams allowed for this match." sqref="D6:D25" xr:uid="{00000000-0002-0000-0400-000002000000}">
      <formula1>KO_R32_M75</formula1>
    </dataValidation>
    <dataValidation type="list" allowBlank="1" errorTitle="Invalid selection" error="Please choose a team from the dropdown list." promptTitle="Choose team" prompt="Select one of the teams allowed for this match." sqref="E6:E25" xr:uid="{00000000-0002-0000-0400-000003000000}">
      <formula1>KO_R32_M76</formula1>
    </dataValidation>
    <dataValidation type="list" allowBlank="1" errorTitle="Invalid selection" error="Please choose a team from the dropdown list." promptTitle="Choose team" prompt="Select one of the teams allowed for this match." sqref="F6:F25" xr:uid="{00000000-0002-0000-0400-000004000000}">
      <formula1>KO_R32_M77</formula1>
    </dataValidation>
    <dataValidation type="list" allowBlank="1" errorTitle="Invalid selection" error="Please choose a team from the dropdown list." promptTitle="Choose team" prompt="Select one of the teams allowed for this match." sqref="G6:G25" xr:uid="{00000000-0002-0000-0400-000005000000}">
      <formula1>KO_R32_M78</formula1>
    </dataValidation>
    <dataValidation type="list" allowBlank="1" errorTitle="Invalid selection" error="Please choose a team from the dropdown list." promptTitle="Choose team" prompt="Select one of the teams allowed for this match." sqref="H6:H25" xr:uid="{00000000-0002-0000-0400-000006000000}">
      <formula1>KO_R32_M79</formula1>
    </dataValidation>
    <dataValidation type="list" allowBlank="1" errorTitle="Invalid selection" error="Please choose a team from the dropdown list." promptTitle="Choose team" prompt="Select one of the teams allowed for this match." sqref="I6:I25" xr:uid="{00000000-0002-0000-0400-000007000000}">
      <formula1>KO_R32_M80</formula1>
    </dataValidation>
    <dataValidation type="list" allowBlank="1" errorTitle="Invalid selection" error="Please choose a team from the dropdown list." promptTitle="Choose team" prompt="Select one of the teams allowed for this match." sqref="J6:J25" xr:uid="{00000000-0002-0000-0400-000008000000}">
      <formula1>KO_R32_M81</formula1>
    </dataValidation>
    <dataValidation type="list" allowBlank="1" errorTitle="Invalid selection" error="Please choose a team from the dropdown list." promptTitle="Choose team" prompt="Select one of the teams allowed for this match." sqref="K6:K25" xr:uid="{00000000-0002-0000-0400-000009000000}">
      <formula1>KO_R32_M82</formula1>
    </dataValidation>
    <dataValidation type="list" allowBlank="1" errorTitle="Invalid selection" error="Please choose a team from the dropdown list." promptTitle="Choose team" prompt="Select one of the teams allowed for this match." sqref="L6:L25" xr:uid="{00000000-0002-0000-0400-00000A000000}">
      <formula1>KO_R32_M83</formula1>
    </dataValidation>
    <dataValidation type="list" allowBlank="1" errorTitle="Invalid selection" error="Please choose a team from the dropdown list." promptTitle="Choose team" prompt="Select one of the teams allowed for this match." sqref="M6:M25" xr:uid="{00000000-0002-0000-0400-00000B000000}">
      <formula1>KO_R32_M84</formula1>
    </dataValidation>
    <dataValidation type="list" allowBlank="1" errorTitle="Invalid selection" error="Please choose a team from the dropdown list." promptTitle="Choose team" prompt="Select one of the teams allowed for this match." sqref="N6:N25" xr:uid="{00000000-0002-0000-0400-00000C000000}">
      <formula1>KO_R32_M85</formula1>
    </dataValidation>
    <dataValidation type="list" allowBlank="1" errorTitle="Invalid selection" error="Please choose a team from the dropdown list." promptTitle="Choose team" prompt="Select one of the teams allowed for this match." sqref="O6:O25" xr:uid="{00000000-0002-0000-0400-00000D000000}">
      <formula1>KO_R32_M86</formula1>
    </dataValidation>
    <dataValidation type="list" allowBlank="1" errorTitle="Invalid selection" error="Please choose a team from the dropdown list." promptTitle="Choose team" prompt="Select one of the teams allowed for this match." sqref="P6:P25" xr:uid="{00000000-0002-0000-0400-00000E000000}">
      <formula1>KO_R32_M87</formula1>
    </dataValidation>
    <dataValidation type="list" allowBlank="1" errorTitle="Invalid selection" error="Please choose a team from the dropdown list." promptTitle="Choose team" prompt="Select one of the teams allowed for this match." sqref="Q6:Q25" xr:uid="{00000000-0002-0000-0400-00000F000000}">
      <formula1>KO_R32_M88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M25"/>
  <sheetViews>
    <sheetView showGridLines="0" zoomScaleNormal="100" workbookViewId="0">
      <selection activeCell="O20" sqref="O20"/>
    </sheetView>
  </sheetViews>
  <sheetFormatPr defaultColWidth="8.7109375" defaultRowHeight="15" customHeight="1"/>
  <cols>
    <col min="1" max="1" width="23" customWidth="1"/>
    <col min="2" max="9" width="14" customWidth="1"/>
    <col min="10" max="10" width="12" customWidth="1"/>
    <col min="11" max="11" width="10" customWidth="1"/>
    <col min="12" max="12" width="12" customWidth="1"/>
  </cols>
  <sheetData>
    <row r="1" spans="1:13" ht="15" customHeight="1">
      <c r="A1" s="162" t="s">
        <v>279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3"/>
    </row>
    <row r="2" spans="1:13" ht="15" customHeight="1">
      <c r="A2" s="234"/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6"/>
    </row>
    <row r="4" spans="1:13" ht="15" customHeight="1">
      <c r="A4" s="171" t="s">
        <v>280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</row>
    <row r="5" spans="1:13" ht="28.35" customHeight="1">
      <c r="A5" s="63" t="s">
        <v>267</v>
      </c>
      <c r="B5" s="55" t="s">
        <v>250</v>
      </c>
      <c r="C5" s="45" t="s">
        <v>251</v>
      </c>
      <c r="D5" s="55" t="s">
        <v>252</v>
      </c>
      <c r="E5" s="45" t="s">
        <v>253</v>
      </c>
      <c r="F5" s="55" t="s">
        <v>254</v>
      </c>
      <c r="G5" s="45" t="s">
        <v>255</v>
      </c>
      <c r="H5" s="55" t="s">
        <v>256</v>
      </c>
      <c r="I5" s="45" t="s">
        <v>257</v>
      </c>
      <c r="J5" s="64" t="s">
        <v>277</v>
      </c>
      <c r="K5" s="65" t="s">
        <v>278</v>
      </c>
      <c r="L5" s="66" t="s">
        <v>274</v>
      </c>
    </row>
    <row r="6" spans="1:13" ht="15" customHeight="1">
      <c r="A6" s="75" t="str">
        <f>IF(Players!B6="","",Players!B6)</f>
        <v>Febby Yudhi Pratama</v>
      </c>
      <c r="B6" s="104" t="s">
        <v>204</v>
      </c>
      <c r="C6" s="104" t="s">
        <v>176</v>
      </c>
      <c r="D6" s="104" t="s">
        <v>199</v>
      </c>
      <c r="E6" s="104" t="s">
        <v>179</v>
      </c>
      <c r="F6" s="104" t="s">
        <v>174</v>
      </c>
      <c r="G6" s="104" t="s">
        <v>219</v>
      </c>
      <c r="H6" s="104" t="s">
        <v>209</v>
      </c>
      <c r="I6" s="104" t="s">
        <v>214</v>
      </c>
      <c r="J6" s="70">
        <f>(IF(AND(B6&lt;&gt;"",'Official Results'!F40&lt;&gt;"",B6='Official Results'!F40),1,0)+IF(AND(C6&lt;&gt;"",'Official Results'!F41&lt;&gt;"",C6='Official Results'!F41),1,0)+IF(AND(D6&lt;&gt;"",'Official Results'!F42&lt;&gt;"",D6='Official Results'!F42),1,0)+IF(AND(E6&lt;&gt;"",'Official Results'!F43&lt;&gt;"",E6='Official Results'!F43),1,0)+IF(AND(F6&lt;&gt;"",'Official Results'!F44&lt;&gt;"",F6='Official Results'!F44),1,0)+IF(AND(G6&lt;&gt;"",'Official Results'!F45&lt;&gt;"",G6='Official Results'!F45),1,0)+IF(AND(H6&lt;&gt;"",'Official Results'!F46&lt;&gt;"",H6='Official Results'!F46),1,0)+IF(AND(I6&lt;&gt;"",'Official Results'!F47&lt;&gt;"",I6='Official Results'!F47),1,0))*'Instructions &amp; Rules'!$K$11</f>
        <v>12</v>
      </c>
      <c r="K6" s="70">
        <f>(IF(AND(B6&lt;&gt;"",'Official Results'!F40&lt;&gt;"",B6='Official Results'!F40),1,0)+IF(AND(C6&lt;&gt;"",'Official Results'!F41&lt;&gt;"",C6='Official Results'!F41),1,0)+IF(AND(D6&lt;&gt;"",'Official Results'!F42&lt;&gt;"",D6='Official Results'!F42),1,0)+IF(AND(E6&lt;&gt;"",'Official Results'!F43&lt;&gt;"",E6='Official Results'!F43),1,0)+IF(AND(F6&lt;&gt;"",'Official Results'!F44&lt;&gt;"",F6='Official Results'!F44),1,0)+IF(AND(G6&lt;&gt;"",'Official Results'!F45&lt;&gt;"",G6='Official Results'!F45),1,0)+IF(AND(H6&lt;&gt;"",'Official Results'!F46&lt;&gt;"",H6='Official Results'!F46),1,0)+IF(AND(I6&lt;&gt;"",'Official Results'!F47&lt;&gt;"",I6='Official Results'!F47),1,0))</f>
        <v>3</v>
      </c>
      <c r="L6" s="72">
        <f t="shared" ref="L6:L25" si="0">COUNTIF(B6:I6,"&lt;&gt;")/8</f>
        <v>1</v>
      </c>
      <c r="M6" s="72">
        <f t="shared" ref="M6:M25" si="1">COUNTIF(B6:I6,"&lt;&gt;")/8</f>
        <v>1</v>
      </c>
    </row>
    <row r="7" spans="1:13" ht="15" customHeight="1">
      <c r="A7" s="75" t="str">
        <f>IF(Players!B7="","",Players!B7)</f>
        <v>Fathan Mauludin</v>
      </c>
      <c r="B7" s="104" t="s">
        <v>204</v>
      </c>
      <c r="C7" s="104" t="s">
        <v>176</v>
      </c>
      <c r="D7" s="104" t="s">
        <v>215</v>
      </c>
      <c r="E7" s="104" t="s">
        <v>194</v>
      </c>
      <c r="F7" s="104" t="s">
        <v>174</v>
      </c>
      <c r="G7" s="104" t="s">
        <v>219</v>
      </c>
      <c r="H7" s="104" t="s">
        <v>209</v>
      </c>
      <c r="I7" s="104" t="s">
        <v>172</v>
      </c>
      <c r="J7" s="70">
        <f>(IF(AND(B7&lt;&gt;"",'Official Results'!F40&lt;&gt;"",B7='Official Results'!F40),1,0)+IF(AND(C7&lt;&gt;"",'Official Results'!F41&lt;&gt;"",C7='Official Results'!F41),1,0)+IF(AND(D7&lt;&gt;"",'Official Results'!F42&lt;&gt;"",D7='Official Results'!F42),1,0)+IF(AND(E7&lt;&gt;"",'Official Results'!F43&lt;&gt;"",E7='Official Results'!F43),1,0)+IF(AND(F7&lt;&gt;"",'Official Results'!F44&lt;&gt;"",F7='Official Results'!F44),1,0)+IF(AND(G7&lt;&gt;"",'Official Results'!F45&lt;&gt;"",G7='Official Results'!F45),1,0)+IF(AND(H7&lt;&gt;"",'Official Results'!F46&lt;&gt;"",H7='Official Results'!F46),1,0)+IF(AND(I7&lt;&gt;"",'Official Results'!F47&lt;&gt;"",I7='Official Results'!F47),1,0))*'Instructions &amp; Rules'!$K$11</f>
        <v>12</v>
      </c>
      <c r="K7" s="70">
        <f>(IF(AND(B7&lt;&gt;"",'Official Results'!F40&lt;&gt;"",B7='Official Results'!F40),1,0)+IF(AND(C7&lt;&gt;"",'Official Results'!F41&lt;&gt;"",C7='Official Results'!F41),1,0)+IF(AND(D7&lt;&gt;"",'Official Results'!F42&lt;&gt;"",D7='Official Results'!F42),1,0)+IF(AND(E7&lt;&gt;"",'Official Results'!F43&lt;&gt;"",E7='Official Results'!F43),1,0)+IF(AND(F7&lt;&gt;"",'Official Results'!F44&lt;&gt;"",F7='Official Results'!F44),1,0)+IF(AND(G7&lt;&gt;"",'Official Results'!F45&lt;&gt;"",G7='Official Results'!F45),1,0)+IF(AND(H7&lt;&gt;"",'Official Results'!F46&lt;&gt;"",H7='Official Results'!F46),1,0)+IF(AND(I7&lt;&gt;"",'Official Results'!F47&lt;&gt;"",I7='Official Results'!F47),1,0))</f>
        <v>3</v>
      </c>
      <c r="L7" s="72">
        <f t="shared" si="0"/>
        <v>1</v>
      </c>
      <c r="M7" s="72">
        <f t="shared" si="1"/>
        <v>1</v>
      </c>
    </row>
    <row r="8" spans="1:13" ht="15" customHeight="1">
      <c r="A8" s="75" t="str">
        <f>IF(Players!B8="","",Players!B8)</f>
        <v>M Fakhri Auladana</v>
      </c>
      <c r="B8" s="104" t="s">
        <v>204</v>
      </c>
      <c r="C8" s="104" t="s">
        <v>176</v>
      </c>
      <c r="D8" s="104" t="s">
        <v>199</v>
      </c>
      <c r="E8" s="104" t="s">
        <v>194</v>
      </c>
      <c r="F8" s="104" t="s">
        <v>174</v>
      </c>
      <c r="G8" s="104" t="s">
        <v>219</v>
      </c>
      <c r="H8" s="104" t="s">
        <v>209</v>
      </c>
      <c r="I8" s="104" t="s">
        <v>172</v>
      </c>
      <c r="J8" s="70">
        <f>(IF(AND(B8&lt;&gt;"",'Official Results'!F40&lt;&gt;"",B8='Official Results'!F40),1,0)+IF(AND(C8&lt;&gt;"",'Official Results'!F41&lt;&gt;"",C8='Official Results'!F41),1,0)+IF(AND(D8&lt;&gt;"",'Official Results'!F42&lt;&gt;"",D8='Official Results'!F42),1,0)+IF(AND(E8&lt;&gt;"",'Official Results'!F43&lt;&gt;"",E8='Official Results'!F43),1,0)+IF(AND(F8&lt;&gt;"",'Official Results'!F44&lt;&gt;"",F8='Official Results'!F44),1,0)+IF(AND(G8&lt;&gt;"",'Official Results'!F45&lt;&gt;"",G8='Official Results'!F45),1,0)+IF(AND(H8&lt;&gt;"",'Official Results'!F46&lt;&gt;"",H8='Official Results'!F46),1,0)+IF(AND(I8&lt;&gt;"",'Official Results'!F47&lt;&gt;"",I8='Official Results'!F47),1,0))*'Instructions &amp; Rules'!$K$11</f>
        <v>12</v>
      </c>
      <c r="K8" s="70">
        <f>(IF(AND(B8&lt;&gt;"",'Official Results'!F40&lt;&gt;"",B8='Official Results'!F40),1,0)+IF(AND(C8&lt;&gt;"",'Official Results'!F41&lt;&gt;"",C8='Official Results'!F41),1,0)+IF(AND(D8&lt;&gt;"",'Official Results'!F42&lt;&gt;"",D8='Official Results'!F42),1,0)+IF(AND(E8&lt;&gt;"",'Official Results'!F43&lt;&gt;"",E8='Official Results'!F43),1,0)+IF(AND(F8&lt;&gt;"",'Official Results'!F44&lt;&gt;"",F8='Official Results'!F44),1,0)+IF(AND(G8&lt;&gt;"",'Official Results'!F45&lt;&gt;"",G8='Official Results'!F45),1,0)+IF(AND(H8&lt;&gt;"",'Official Results'!F46&lt;&gt;"",H8='Official Results'!F46),1,0)+IF(AND(I8&lt;&gt;"",'Official Results'!F47&lt;&gt;"",I8='Official Results'!F47),1,0))</f>
        <v>3</v>
      </c>
      <c r="L8" s="72">
        <f t="shared" si="0"/>
        <v>1</v>
      </c>
      <c r="M8" s="72">
        <f t="shared" si="1"/>
        <v>1</v>
      </c>
    </row>
    <row r="9" spans="1:13" ht="15" customHeight="1">
      <c r="A9" s="75" t="str">
        <f>IF(Players!B9="","",Players!B9)</f>
        <v>Muhammad Naufal Aiman</v>
      </c>
      <c r="B9" s="104" t="s">
        <v>204</v>
      </c>
      <c r="C9" s="104" t="s">
        <v>176</v>
      </c>
      <c r="D9" s="104" t="s">
        <v>199</v>
      </c>
      <c r="E9" s="104" t="s">
        <v>194</v>
      </c>
      <c r="F9" s="104" t="s">
        <v>174</v>
      </c>
      <c r="G9" s="104" t="s">
        <v>219</v>
      </c>
      <c r="H9" s="104" t="s">
        <v>209</v>
      </c>
      <c r="I9" s="104" t="s">
        <v>214</v>
      </c>
      <c r="J9" s="70">
        <f>(IF(AND(B9&lt;&gt;"",'Official Results'!F40&lt;&gt;"",B9='Official Results'!F40),1,0)+IF(AND(C9&lt;&gt;"",'Official Results'!F41&lt;&gt;"",C9='Official Results'!F41),1,0)+IF(AND(D9&lt;&gt;"",'Official Results'!F42&lt;&gt;"",D9='Official Results'!F42),1,0)+IF(AND(E9&lt;&gt;"",'Official Results'!F43&lt;&gt;"",E9='Official Results'!F43),1,0)+IF(AND(F9&lt;&gt;"",'Official Results'!F44&lt;&gt;"",F9='Official Results'!F44),1,0)+IF(AND(G9&lt;&gt;"",'Official Results'!F45&lt;&gt;"",G9='Official Results'!F45),1,0)+IF(AND(H9&lt;&gt;"",'Official Results'!F46&lt;&gt;"",H9='Official Results'!F46),1,0)+IF(AND(I9&lt;&gt;"",'Official Results'!F47&lt;&gt;"",I9='Official Results'!F47),1,0))*'Instructions &amp; Rules'!$K$11</f>
        <v>12</v>
      </c>
      <c r="K9" s="70">
        <f>(IF(AND(B9&lt;&gt;"",'Official Results'!F40&lt;&gt;"",B9='Official Results'!F40),1,0)+IF(AND(C9&lt;&gt;"",'Official Results'!F41&lt;&gt;"",C9='Official Results'!F41),1,0)+IF(AND(D9&lt;&gt;"",'Official Results'!F42&lt;&gt;"",D9='Official Results'!F42),1,0)+IF(AND(E9&lt;&gt;"",'Official Results'!F43&lt;&gt;"",E9='Official Results'!F43),1,0)+IF(AND(F9&lt;&gt;"",'Official Results'!F44&lt;&gt;"",F9='Official Results'!F44),1,0)+IF(AND(G9&lt;&gt;"",'Official Results'!F45&lt;&gt;"",G9='Official Results'!F45),1,0)+IF(AND(H9&lt;&gt;"",'Official Results'!F46&lt;&gt;"",H9='Official Results'!F46),1,0)+IF(AND(I9&lt;&gt;"",'Official Results'!F47&lt;&gt;"",I9='Official Results'!F47),1,0))</f>
        <v>3</v>
      </c>
      <c r="L9" s="72">
        <f t="shared" si="0"/>
        <v>1</v>
      </c>
      <c r="M9" s="72">
        <f t="shared" si="1"/>
        <v>1</v>
      </c>
    </row>
    <row r="10" spans="1:13" ht="15" customHeight="1">
      <c r="A10" s="75" t="str">
        <f>IF(Players!B10="","",Players!B10)</f>
        <v>Ahade</v>
      </c>
      <c r="B10" s="104" t="s">
        <v>204</v>
      </c>
      <c r="C10" s="104" t="s">
        <v>176</v>
      </c>
      <c r="D10" s="104" t="s">
        <v>215</v>
      </c>
      <c r="E10" s="104" t="s">
        <v>194</v>
      </c>
      <c r="F10" s="104" t="s">
        <v>174</v>
      </c>
      <c r="G10" s="104" t="s">
        <v>219</v>
      </c>
      <c r="H10" s="104" t="s">
        <v>195</v>
      </c>
      <c r="I10" s="104" t="s">
        <v>214</v>
      </c>
      <c r="J10" s="70">
        <f>(IF(AND(B10&lt;&gt;"",'Official Results'!F40&lt;&gt;"",B10='Official Results'!F40),1,0)+IF(AND(C10&lt;&gt;"",'Official Results'!F41&lt;&gt;"",C10='Official Results'!F41),1,0)+IF(AND(D10&lt;&gt;"",'Official Results'!F42&lt;&gt;"",D10='Official Results'!F42),1,0)+IF(AND(E10&lt;&gt;"",'Official Results'!F43&lt;&gt;"",E10='Official Results'!F43),1,0)+IF(AND(F10&lt;&gt;"",'Official Results'!F44&lt;&gt;"",F10='Official Results'!F44),1,0)+IF(AND(G10&lt;&gt;"",'Official Results'!F45&lt;&gt;"",G10='Official Results'!F45),1,0)+IF(AND(H10&lt;&gt;"",'Official Results'!F46&lt;&gt;"",H10='Official Results'!F46),1,0)+IF(AND(I10&lt;&gt;"",'Official Results'!F47&lt;&gt;"",I10='Official Results'!F47),1,0))*'Instructions &amp; Rules'!$K$11</f>
        <v>12</v>
      </c>
      <c r="K10" s="70">
        <f>(IF(AND(B10&lt;&gt;"",'Official Results'!F40&lt;&gt;"",B10='Official Results'!F40),1,0)+IF(AND(C10&lt;&gt;"",'Official Results'!F41&lt;&gt;"",C10='Official Results'!F41),1,0)+IF(AND(D10&lt;&gt;"",'Official Results'!F42&lt;&gt;"",D10='Official Results'!F42),1,0)+IF(AND(E10&lt;&gt;"",'Official Results'!F43&lt;&gt;"",E10='Official Results'!F43),1,0)+IF(AND(F10&lt;&gt;"",'Official Results'!F44&lt;&gt;"",F10='Official Results'!F44),1,0)+IF(AND(G10&lt;&gt;"",'Official Results'!F45&lt;&gt;"",G10='Official Results'!F45),1,0)+IF(AND(H10&lt;&gt;"",'Official Results'!F46&lt;&gt;"",H10='Official Results'!F46),1,0)+IF(AND(I10&lt;&gt;"",'Official Results'!F47&lt;&gt;"",I10='Official Results'!F47),1,0))</f>
        <v>3</v>
      </c>
      <c r="L10" s="72">
        <f t="shared" si="0"/>
        <v>1</v>
      </c>
      <c r="M10" s="72">
        <f t="shared" si="1"/>
        <v>1</v>
      </c>
    </row>
    <row r="11" spans="1:13" ht="15" customHeight="1">
      <c r="A11" s="75" t="str">
        <f>IF(Players!B11="","",Players!B11)</f>
        <v>Aldy</v>
      </c>
      <c r="B11" s="104" t="s">
        <v>204</v>
      </c>
      <c r="C11" s="104" t="s">
        <v>176</v>
      </c>
      <c r="D11" s="104" t="s">
        <v>199</v>
      </c>
      <c r="E11" s="104" t="s">
        <v>179</v>
      </c>
      <c r="F11" s="104" t="s">
        <v>174</v>
      </c>
      <c r="G11" s="104" t="s">
        <v>157</v>
      </c>
      <c r="H11" s="104" t="s">
        <v>209</v>
      </c>
      <c r="I11" s="104" t="s">
        <v>214</v>
      </c>
      <c r="J11" s="70">
        <f>(IF(AND(B11&lt;&gt;"",'Official Results'!F40&lt;&gt;"",B11='Official Results'!F40),1,0)+IF(AND(C11&lt;&gt;"",'Official Results'!F41&lt;&gt;"",C11='Official Results'!F41),1,0)+IF(AND(D11&lt;&gt;"",'Official Results'!F42&lt;&gt;"",D11='Official Results'!F42),1,0)+IF(AND(E11&lt;&gt;"",'Official Results'!F43&lt;&gt;"",E11='Official Results'!F43),1,0)+IF(AND(F11&lt;&gt;"",'Official Results'!F44&lt;&gt;"",F11='Official Results'!F44),1,0)+IF(AND(G11&lt;&gt;"",'Official Results'!F45&lt;&gt;"",G11='Official Results'!F45),1,0)+IF(AND(H11&lt;&gt;"",'Official Results'!F46&lt;&gt;"",H11='Official Results'!F46),1,0)+IF(AND(I11&lt;&gt;"",'Official Results'!F47&lt;&gt;"",I11='Official Results'!F47),1,0))*'Instructions &amp; Rules'!$K$11</f>
        <v>8</v>
      </c>
      <c r="K11" s="70">
        <f>(IF(AND(B11&lt;&gt;"",'Official Results'!F40&lt;&gt;"",B11='Official Results'!F40),1,0)+IF(AND(C11&lt;&gt;"",'Official Results'!F41&lt;&gt;"",C11='Official Results'!F41),1,0)+IF(AND(D11&lt;&gt;"",'Official Results'!F42&lt;&gt;"",D11='Official Results'!F42),1,0)+IF(AND(E11&lt;&gt;"",'Official Results'!F43&lt;&gt;"",E11='Official Results'!F43),1,0)+IF(AND(F11&lt;&gt;"",'Official Results'!F44&lt;&gt;"",F11='Official Results'!F44),1,0)+IF(AND(G11&lt;&gt;"",'Official Results'!F45&lt;&gt;"",G11='Official Results'!F45),1,0)+IF(AND(H11&lt;&gt;"",'Official Results'!F46&lt;&gt;"",H11='Official Results'!F46),1,0)+IF(AND(I11&lt;&gt;"",'Official Results'!F47&lt;&gt;"",I11='Official Results'!F47),1,0))</f>
        <v>2</v>
      </c>
      <c r="L11" s="72">
        <f t="shared" si="0"/>
        <v>1</v>
      </c>
      <c r="M11" s="72">
        <f t="shared" si="1"/>
        <v>1</v>
      </c>
    </row>
    <row r="12" spans="1:13" ht="15" customHeight="1">
      <c r="A12" s="75" t="str">
        <f>IF(Players!B12="","",Players!B12)</f>
        <v>Affaninho</v>
      </c>
      <c r="B12" s="104" t="s">
        <v>204</v>
      </c>
      <c r="C12" s="104" t="s">
        <v>176</v>
      </c>
      <c r="D12" s="104" t="s">
        <v>215</v>
      </c>
      <c r="E12" s="104" t="s">
        <v>194</v>
      </c>
      <c r="F12" s="104" t="s">
        <v>174</v>
      </c>
      <c r="G12" s="104" t="s">
        <v>219</v>
      </c>
      <c r="H12" s="104" t="s">
        <v>209</v>
      </c>
      <c r="I12" s="104" t="s">
        <v>214</v>
      </c>
      <c r="J12" s="70">
        <f>(IF(AND(B12&lt;&gt;"",'Official Results'!F40&lt;&gt;"",B12='Official Results'!F40),1,0)+IF(AND(C12&lt;&gt;"",'Official Results'!F41&lt;&gt;"",C12='Official Results'!F41),1,0)+IF(AND(D12&lt;&gt;"",'Official Results'!F42&lt;&gt;"",D12='Official Results'!F42),1,0)+IF(AND(E12&lt;&gt;"",'Official Results'!F43&lt;&gt;"",E12='Official Results'!F43),1,0)+IF(AND(F12&lt;&gt;"",'Official Results'!F44&lt;&gt;"",F12='Official Results'!F44),1,0)+IF(AND(G12&lt;&gt;"",'Official Results'!F45&lt;&gt;"",G12='Official Results'!F45),1,0)+IF(AND(H12&lt;&gt;"",'Official Results'!F46&lt;&gt;"",H12='Official Results'!F46),1,0)+IF(AND(I12&lt;&gt;"",'Official Results'!F47&lt;&gt;"",I12='Official Results'!F47),1,0))*'Instructions &amp; Rules'!$K$11</f>
        <v>12</v>
      </c>
      <c r="K12" s="70">
        <f>(IF(AND(B12&lt;&gt;"",'Official Results'!F40&lt;&gt;"",B12='Official Results'!F40),1,0)+IF(AND(C12&lt;&gt;"",'Official Results'!F41&lt;&gt;"",C12='Official Results'!F41),1,0)+IF(AND(D12&lt;&gt;"",'Official Results'!F42&lt;&gt;"",D12='Official Results'!F42),1,0)+IF(AND(E12&lt;&gt;"",'Official Results'!F43&lt;&gt;"",E12='Official Results'!F43),1,0)+IF(AND(F12&lt;&gt;"",'Official Results'!F44&lt;&gt;"",F12='Official Results'!F44),1,0)+IF(AND(G12&lt;&gt;"",'Official Results'!F45&lt;&gt;"",G12='Official Results'!F45),1,0)+IF(AND(H12&lt;&gt;"",'Official Results'!F46&lt;&gt;"",H12='Official Results'!F46),1,0)+IF(AND(I12&lt;&gt;"",'Official Results'!F47&lt;&gt;"",I12='Official Results'!F47),1,0))</f>
        <v>3</v>
      </c>
      <c r="L12" s="72">
        <f t="shared" si="0"/>
        <v>1</v>
      </c>
      <c r="M12" s="72">
        <f t="shared" si="1"/>
        <v>1</v>
      </c>
    </row>
    <row r="13" spans="1:13" ht="15" customHeight="1">
      <c r="A13" s="75" t="str">
        <f>IF(Players!B13="","",Players!B13)</f>
        <v>Aji</v>
      </c>
      <c r="B13" s="104" t="s">
        <v>204</v>
      </c>
      <c r="C13" s="104" t="s">
        <v>176</v>
      </c>
      <c r="D13" s="104" t="s">
        <v>199</v>
      </c>
      <c r="E13" s="104" t="s">
        <v>194</v>
      </c>
      <c r="F13" s="104" t="s">
        <v>174</v>
      </c>
      <c r="G13" s="104" t="s">
        <v>219</v>
      </c>
      <c r="H13" s="104" t="s">
        <v>209</v>
      </c>
      <c r="I13" s="104" t="s">
        <v>214</v>
      </c>
      <c r="J13" s="70">
        <f>(IF(AND(B13&lt;&gt;"",'Official Results'!F40&lt;&gt;"",B13='Official Results'!F40),1,0)+IF(AND(C13&lt;&gt;"",'Official Results'!F41&lt;&gt;"",C13='Official Results'!F41),1,0)+IF(AND(D13&lt;&gt;"",'Official Results'!F42&lt;&gt;"",D13='Official Results'!F42),1,0)+IF(AND(E13&lt;&gt;"",'Official Results'!F43&lt;&gt;"",E13='Official Results'!F43),1,0)+IF(AND(F13&lt;&gt;"",'Official Results'!F44&lt;&gt;"",F13='Official Results'!F44),1,0)+IF(AND(G13&lt;&gt;"",'Official Results'!F45&lt;&gt;"",G13='Official Results'!F45),1,0)+IF(AND(H13&lt;&gt;"",'Official Results'!F46&lt;&gt;"",H13='Official Results'!F46),1,0)+IF(AND(I13&lt;&gt;"",'Official Results'!F47&lt;&gt;"",I13='Official Results'!F47),1,0))*'Instructions &amp; Rules'!$K$11</f>
        <v>12</v>
      </c>
      <c r="K13" s="70">
        <f>(IF(AND(B13&lt;&gt;"",'Official Results'!F40&lt;&gt;"",B13='Official Results'!F40),1,0)+IF(AND(C13&lt;&gt;"",'Official Results'!F41&lt;&gt;"",C13='Official Results'!F41),1,0)+IF(AND(D13&lt;&gt;"",'Official Results'!F42&lt;&gt;"",D13='Official Results'!F42),1,0)+IF(AND(E13&lt;&gt;"",'Official Results'!F43&lt;&gt;"",E13='Official Results'!F43),1,0)+IF(AND(F13&lt;&gt;"",'Official Results'!F44&lt;&gt;"",F13='Official Results'!F44),1,0)+IF(AND(G13&lt;&gt;"",'Official Results'!F45&lt;&gt;"",G13='Official Results'!F45),1,0)+IF(AND(H13&lt;&gt;"",'Official Results'!F46&lt;&gt;"",H13='Official Results'!F46),1,0)+IF(AND(I13&lt;&gt;"",'Official Results'!F47&lt;&gt;"",I13='Official Results'!F47),1,0))</f>
        <v>3</v>
      </c>
      <c r="L13" s="72">
        <f t="shared" si="0"/>
        <v>1</v>
      </c>
      <c r="M13" s="72">
        <f t="shared" si="1"/>
        <v>1</v>
      </c>
    </row>
    <row r="14" spans="1:13" ht="15" customHeight="1">
      <c r="A14" s="75" t="str">
        <f>IF(Players!B14="","",Players!B14)</f>
        <v>Dausman</v>
      </c>
      <c r="B14" s="104" t="s">
        <v>204</v>
      </c>
      <c r="C14" s="104" t="s">
        <v>176</v>
      </c>
      <c r="D14" s="104" t="s">
        <v>215</v>
      </c>
      <c r="E14" s="104" t="s">
        <v>179</v>
      </c>
      <c r="F14" s="104" t="s">
        <v>174</v>
      </c>
      <c r="G14" s="104" t="s">
        <v>219</v>
      </c>
      <c r="H14" s="104" t="s">
        <v>209</v>
      </c>
      <c r="I14" s="104" t="s">
        <v>214</v>
      </c>
      <c r="J14" s="70">
        <f>(IF(AND(B14&lt;&gt;"",'Official Results'!F40&lt;&gt;"",B14='Official Results'!F40),1,0)+IF(AND(C14&lt;&gt;"",'Official Results'!F41&lt;&gt;"",C14='Official Results'!F41),1,0)+IF(AND(D14&lt;&gt;"",'Official Results'!F42&lt;&gt;"",D14='Official Results'!F42),1,0)+IF(AND(E14&lt;&gt;"",'Official Results'!F43&lt;&gt;"",E14='Official Results'!F43),1,0)+IF(AND(F14&lt;&gt;"",'Official Results'!F44&lt;&gt;"",F14='Official Results'!F44),1,0)+IF(AND(G14&lt;&gt;"",'Official Results'!F45&lt;&gt;"",G14='Official Results'!F45),1,0)+IF(AND(H14&lt;&gt;"",'Official Results'!F46&lt;&gt;"",H14='Official Results'!F46),1,0)+IF(AND(I14&lt;&gt;"",'Official Results'!F47&lt;&gt;"",I14='Official Results'!F47),1,0))*'Instructions &amp; Rules'!$K$11</f>
        <v>12</v>
      </c>
      <c r="K14" s="70">
        <f>(IF(AND(B14&lt;&gt;"",'Official Results'!F40&lt;&gt;"",B14='Official Results'!F40),1,0)+IF(AND(C14&lt;&gt;"",'Official Results'!F41&lt;&gt;"",C14='Official Results'!F41),1,0)+IF(AND(D14&lt;&gt;"",'Official Results'!F42&lt;&gt;"",D14='Official Results'!F42),1,0)+IF(AND(E14&lt;&gt;"",'Official Results'!F43&lt;&gt;"",E14='Official Results'!F43),1,0)+IF(AND(F14&lt;&gt;"",'Official Results'!F44&lt;&gt;"",F14='Official Results'!F44),1,0)+IF(AND(G14&lt;&gt;"",'Official Results'!F45&lt;&gt;"",G14='Official Results'!F45),1,0)+IF(AND(H14&lt;&gt;"",'Official Results'!F46&lt;&gt;"",H14='Official Results'!F46),1,0)+IF(AND(I14&lt;&gt;"",'Official Results'!F47&lt;&gt;"",I14='Official Results'!F47),1,0))</f>
        <v>3</v>
      </c>
      <c r="L14" s="72">
        <f t="shared" si="0"/>
        <v>1</v>
      </c>
      <c r="M14" s="72">
        <f t="shared" si="1"/>
        <v>1</v>
      </c>
    </row>
    <row r="15" spans="1:13" ht="15" customHeight="1">
      <c r="A15" s="75" t="str">
        <f>IF(Players!B15="","",Players!B15)</f>
        <v>Wawa</v>
      </c>
      <c r="B15" s="104" t="s">
        <v>204</v>
      </c>
      <c r="C15" s="104" t="s">
        <v>176</v>
      </c>
      <c r="D15" s="104" t="s">
        <v>215</v>
      </c>
      <c r="E15" s="104" t="s">
        <v>194</v>
      </c>
      <c r="F15" s="104" t="s">
        <v>174</v>
      </c>
      <c r="G15" s="104" t="s">
        <v>219</v>
      </c>
      <c r="H15" s="104" t="s">
        <v>209</v>
      </c>
      <c r="I15" s="104" t="s">
        <v>214</v>
      </c>
      <c r="J15" s="70">
        <f>(IF(AND(B15&lt;&gt;"",'Official Results'!F40&lt;&gt;"",B15='Official Results'!F40),1,0)+IF(AND(C15&lt;&gt;"",'Official Results'!F41&lt;&gt;"",C15='Official Results'!F41),1,0)+IF(AND(D15&lt;&gt;"",'Official Results'!F42&lt;&gt;"",D15='Official Results'!F42),1,0)+IF(AND(E15&lt;&gt;"",'Official Results'!F43&lt;&gt;"",E15='Official Results'!F43),1,0)+IF(AND(F15&lt;&gt;"",'Official Results'!F44&lt;&gt;"",F15='Official Results'!F44),1,0)+IF(AND(G15&lt;&gt;"",'Official Results'!F45&lt;&gt;"",G15='Official Results'!F45),1,0)+IF(AND(H15&lt;&gt;"",'Official Results'!F46&lt;&gt;"",H15='Official Results'!F46),1,0)+IF(AND(I15&lt;&gt;"",'Official Results'!F47&lt;&gt;"",I15='Official Results'!F47),1,0))*'Instructions &amp; Rules'!$K$11</f>
        <v>12</v>
      </c>
      <c r="K15" s="70">
        <f>(IF(AND(B15&lt;&gt;"",'Official Results'!F40&lt;&gt;"",B15='Official Results'!F40),1,0)+IF(AND(C15&lt;&gt;"",'Official Results'!F41&lt;&gt;"",C15='Official Results'!F41),1,0)+IF(AND(D15&lt;&gt;"",'Official Results'!F42&lt;&gt;"",D15='Official Results'!F42),1,0)+IF(AND(E15&lt;&gt;"",'Official Results'!F43&lt;&gt;"",E15='Official Results'!F43),1,0)+IF(AND(F15&lt;&gt;"",'Official Results'!F44&lt;&gt;"",F15='Official Results'!F44),1,0)+IF(AND(G15&lt;&gt;"",'Official Results'!F45&lt;&gt;"",G15='Official Results'!F45),1,0)+IF(AND(H15&lt;&gt;"",'Official Results'!F46&lt;&gt;"",H15='Official Results'!F46),1,0)+IF(AND(I15&lt;&gt;"",'Official Results'!F47&lt;&gt;"",I15='Official Results'!F47),1,0))</f>
        <v>3</v>
      </c>
      <c r="L15" s="72">
        <f t="shared" si="0"/>
        <v>1</v>
      </c>
      <c r="M15" s="72">
        <f t="shared" si="1"/>
        <v>1</v>
      </c>
    </row>
    <row r="16" spans="1:13" ht="15" customHeight="1">
      <c r="A16" s="75" t="str">
        <f>IF(Players!B16="","",Players!B16)</f>
        <v>Player 11</v>
      </c>
      <c r="B16" s="104"/>
      <c r="C16" s="104"/>
      <c r="D16" s="104"/>
      <c r="E16" s="104"/>
      <c r="F16" s="104"/>
      <c r="G16" s="104"/>
      <c r="H16" s="104"/>
      <c r="I16" s="104"/>
      <c r="J16" s="70">
        <f>(IF(AND(B16&lt;&gt;"",'Official Results'!F40&lt;&gt;"",B16='Official Results'!F40),1,0)+IF(AND(C16&lt;&gt;"",'Official Results'!F41&lt;&gt;"",C16='Official Results'!F41),1,0)+IF(AND(D16&lt;&gt;"",'Official Results'!F42&lt;&gt;"",D16='Official Results'!F42),1,0)+IF(AND(E16&lt;&gt;"",'Official Results'!F43&lt;&gt;"",E16='Official Results'!F43),1,0)+IF(AND(F16&lt;&gt;"",'Official Results'!F44&lt;&gt;"",F16='Official Results'!F44),1,0)+IF(AND(G16&lt;&gt;"",'Official Results'!F45&lt;&gt;"",G16='Official Results'!F45),1,0)+IF(AND(H16&lt;&gt;"",'Official Results'!F46&lt;&gt;"",H16='Official Results'!F46),1,0)+IF(AND(I16&lt;&gt;"",'Official Results'!F47&lt;&gt;"",I16='Official Results'!F47),1,0))*'Instructions &amp; Rules'!$K$11</f>
        <v>0</v>
      </c>
      <c r="K16" s="70">
        <f>(IF(AND(B16&lt;&gt;"",'Official Results'!F40&lt;&gt;"",B16='Official Results'!F40),1,0)+IF(AND(C16&lt;&gt;"",'Official Results'!F41&lt;&gt;"",C16='Official Results'!F41),1,0)+IF(AND(D16&lt;&gt;"",'Official Results'!F42&lt;&gt;"",D16='Official Results'!F42),1,0)+IF(AND(E16&lt;&gt;"",'Official Results'!F43&lt;&gt;"",E16='Official Results'!F43),1,0)+IF(AND(F16&lt;&gt;"",'Official Results'!F44&lt;&gt;"",F16='Official Results'!F44),1,0)+IF(AND(G16&lt;&gt;"",'Official Results'!F45&lt;&gt;"",G16='Official Results'!F45),1,0)+IF(AND(H16&lt;&gt;"",'Official Results'!F46&lt;&gt;"",H16='Official Results'!F46),1,0)+IF(AND(I16&lt;&gt;"",'Official Results'!F47&lt;&gt;"",I16='Official Results'!F47),1,0))</f>
        <v>0</v>
      </c>
      <c r="L16" s="72">
        <f t="shared" si="0"/>
        <v>0</v>
      </c>
      <c r="M16" s="72">
        <f t="shared" si="1"/>
        <v>0</v>
      </c>
    </row>
    <row r="17" spans="1:13" ht="15" customHeight="1">
      <c r="A17" s="75" t="str">
        <f>IF(Players!B17="","",Players!B17)</f>
        <v>Player 12</v>
      </c>
      <c r="B17" s="104"/>
      <c r="C17" s="104"/>
      <c r="D17" s="104"/>
      <c r="E17" s="104"/>
      <c r="F17" s="104"/>
      <c r="G17" s="104"/>
      <c r="H17" s="104"/>
      <c r="I17" s="104"/>
      <c r="J17" s="70">
        <f>(IF(AND(B17&lt;&gt;"",'Official Results'!F40&lt;&gt;"",B17='Official Results'!F40),1,0)+IF(AND(C17&lt;&gt;"",'Official Results'!F41&lt;&gt;"",C17='Official Results'!F41),1,0)+IF(AND(D17&lt;&gt;"",'Official Results'!F42&lt;&gt;"",D17='Official Results'!F42),1,0)+IF(AND(E17&lt;&gt;"",'Official Results'!F43&lt;&gt;"",E17='Official Results'!F43),1,0)+IF(AND(F17&lt;&gt;"",'Official Results'!F44&lt;&gt;"",F17='Official Results'!F44),1,0)+IF(AND(G17&lt;&gt;"",'Official Results'!F45&lt;&gt;"",G17='Official Results'!F45),1,0)+IF(AND(H17&lt;&gt;"",'Official Results'!F46&lt;&gt;"",H17='Official Results'!F46),1,0)+IF(AND(I17&lt;&gt;"",'Official Results'!F47&lt;&gt;"",I17='Official Results'!F47),1,0))*'Instructions &amp; Rules'!$K$11</f>
        <v>0</v>
      </c>
      <c r="K17" s="70">
        <f>(IF(AND(B17&lt;&gt;"",'Official Results'!F40&lt;&gt;"",B17='Official Results'!F40),1,0)+IF(AND(C17&lt;&gt;"",'Official Results'!F41&lt;&gt;"",C17='Official Results'!F41),1,0)+IF(AND(D17&lt;&gt;"",'Official Results'!F42&lt;&gt;"",D17='Official Results'!F42),1,0)+IF(AND(E17&lt;&gt;"",'Official Results'!F43&lt;&gt;"",E17='Official Results'!F43),1,0)+IF(AND(F17&lt;&gt;"",'Official Results'!F44&lt;&gt;"",F17='Official Results'!F44),1,0)+IF(AND(G17&lt;&gt;"",'Official Results'!F45&lt;&gt;"",G17='Official Results'!F45),1,0)+IF(AND(H17&lt;&gt;"",'Official Results'!F46&lt;&gt;"",H17='Official Results'!F46),1,0)+IF(AND(I17&lt;&gt;"",'Official Results'!F47&lt;&gt;"",I17='Official Results'!F47),1,0))</f>
        <v>0</v>
      </c>
      <c r="L17" s="72">
        <f t="shared" si="0"/>
        <v>0</v>
      </c>
      <c r="M17" s="72">
        <f t="shared" si="1"/>
        <v>0</v>
      </c>
    </row>
    <row r="18" spans="1:13" ht="15" customHeight="1">
      <c r="A18" s="75" t="str">
        <f>IF(Players!B18="","",Players!B18)</f>
        <v>Player 13</v>
      </c>
      <c r="B18" s="104"/>
      <c r="C18" s="104"/>
      <c r="D18" s="104"/>
      <c r="E18" s="104"/>
      <c r="F18" s="104"/>
      <c r="G18" s="104"/>
      <c r="H18" s="104"/>
      <c r="I18" s="104"/>
      <c r="J18" s="70">
        <f>(IF(AND(B18&lt;&gt;"",'Official Results'!F40&lt;&gt;"",B18='Official Results'!F40),1,0)+IF(AND(C18&lt;&gt;"",'Official Results'!F41&lt;&gt;"",C18='Official Results'!F41),1,0)+IF(AND(D18&lt;&gt;"",'Official Results'!F42&lt;&gt;"",D18='Official Results'!F42),1,0)+IF(AND(E18&lt;&gt;"",'Official Results'!F43&lt;&gt;"",E18='Official Results'!F43),1,0)+IF(AND(F18&lt;&gt;"",'Official Results'!F44&lt;&gt;"",F18='Official Results'!F44),1,0)+IF(AND(G18&lt;&gt;"",'Official Results'!F45&lt;&gt;"",G18='Official Results'!F45),1,0)+IF(AND(H18&lt;&gt;"",'Official Results'!F46&lt;&gt;"",H18='Official Results'!F46),1,0)+IF(AND(I18&lt;&gt;"",'Official Results'!F47&lt;&gt;"",I18='Official Results'!F47),1,0))*'Instructions &amp; Rules'!$K$11</f>
        <v>0</v>
      </c>
      <c r="K18" s="70">
        <f>(IF(AND(B18&lt;&gt;"",'Official Results'!F40&lt;&gt;"",B18='Official Results'!F40),1,0)+IF(AND(C18&lt;&gt;"",'Official Results'!F41&lt;&gt;"",C18='Official Results'!F41),1,0)+IF(AND(D18&lt;&gt;"",'Official Results'!F42&lt;&gt;"",D18='Official Results'!F42),1,0)+IF(AND(E18&lt;&gt;"",'Official Results'!F43&lt;&gt;"",E18='Official Results'!F43),1,0)+IF(AND(F18&lt;&gt;"",'Official Results'!F44&lt;&gt;"",F18='Official Results'!F44),1,0)+IF(AND(G18&lt;&gt;"",'Official Results'!F45&lt;&gt;"",G18='Official Results'!F45),1,0)+IF(AND(H18&lt;&gt;"",'Official Results'!F46&lt;&gt;"",H18='Official Results'!F46),1,0)+IF(AND(I18&lt;&gt;"",'Official Results'!F47&lt;&gt;"",I18='Official Results'!F47),1,0))</f>
        <v>0</v>
      </c>
      <c r="L18" s="72">
        <f t="shared" si="0"/>
        <v>0</v>
      </c>
      <c r="M18" s="72">
        <f t="shared" si="1"/>
        <v>0</v>
      </c>
    </row>
    <row r="19" spans="1:13" ht="15" customHeight="1">
      <c r="A19" s="75" t="str">
        <f>IF(Players!B19="","",Players!B19)</f>
        <v>Player 14</v>
      </c>
      <c r="B19" s="104"/>
      <c r="C19" s="104"/>
      <c r="D19" s="104"/>
      <c r="E19" s="104"/>
      <c r="F19" s="104"/>
      <c r="G19" s="104"/>
      <c r="H19" s="104"/>
      <c r="I19" s="104"/>
      <c r="J19" s="70">
        <f>(IF(AND(B19&lt;&gt;"",'Official Results'!F40&lt;&gt;"",B19='Official Results'!F40),1,0)+IF(AND(C19&lt;&gt;"",'Official Results'!F41&lt;&gt;"",C19='Official Results'!F41),1,0)+IF(AND(D19&lt;&gt;"",'Official Results'!F42&lt;&gt;"",D19='Official Results'!F42),1,0)+IF(AND(E19&lt;&gt;"",'Official Results'!F43&lt;&gt;"",E19='Official Results'!F43),1,0)+IF(AND(F19&lt;&gt;"",'Official Results'!F44&lt;&gt;"",F19='Official Results'!F44),1,0)+IF(AND(G19&lt;&gt;"",'Official Results'!F45&lt;&gt;"",G19='Official Results'!F45),1,0)+IF(AND(H19&lt;&gt;"",'Official Results'!F46&lt;&gt;"",H19='Official Results'!F46),1,0)+IF(AND(I19&lt;&gt;"",'Official Results'!F47&lt;&gt;"",I19='Official Results'!F47),1,0))*'Instructions &amp; Rules'!$K$11</f>
        <v>0</v>
      </c>
      <c r="K19" s="70">
        <f>(IF(AND(B19&lt;&gt;"",'Official Results'!F40&lt;&gt;"",B19='Official Results'!F40),1,0)+IF(AND(C19&lt;&gt;"",'Official Results'!F41&lt;&gt;"",C19='Official Results'!F41),1,0)+IF(AND(D19&lt;&gt;"",'Official Results'!F42&lt;&gt;"",D19='Official Results'!F42),1,0)+IF(AND(E19&lt;&gt;"",'Official Results'!F43&lt;&gt;"",E19='Official Results'!F43),1,0)+IF(AND(F19&lt;&gt;"",'Official Results'!F44&lt;&gt;"",F19='Official Results'!F44),1,0)+IF(AND(G19&lt;&gt;"",'Official Results'!F45&lt;&gt;"",G19='Official Results'!F45),1,0)+IF(AND(H19&lt;&gt;"",'Official Results'!F46&lt;&gt;"",H19='Official Results'!F46),1,0)+IF(AND(I19&lt;&gt;"",'Official Results'!F47&lt;&gt;"",I19='Official Results'!F47),1,0))</f>
        <v>0</v>
      </c>
      <c r="L19" s="72">
        <f t="shared" si="0"/>
        <v>0</v>
      </c>
      <c r="M19" s="72">
        <f t="shared" si="1"/>
        <v>0</v>
      </c>
    </row>
    <row r="20" spans="1:13" ht="15" customHeight="1">
      <c r="A20" s="75" t="str">
        <f>IF(Players!B20="","",Players!B20)</f>
        <v>Player 15</v>
      </c>
      <c r="B20" s="104"/>
      <c r="C20" s="104"/>
      <c r="D20" s="104"/>
      <c r="E20" s="104"/>
      <c r="F20" s="104"/>
      <c r="G20" s="104"/>
      <c r="H20" s="104"/>
      <c r="I20" s="104"/>
      <c r="J20" s="70">
        <f>(IF(AND(B20&lt;&gt;"",'Official Results'!F40&lt;&gt;"",B20='Official Results'!F40),1,0)+IF(AND(C20&lt;&gt;"",'Official Results'!F41&lt;&gt;"",C20='Official Results'!F41),1,0)+IF(AND(D20&lt;&gt;"",'Official Results'!F42&lt;&gt;"",D20='Official Results'!F42),1,0)+IF(AND(E20&lt;&gt;"",'Official Results'!F43&lt;&gt;"",E20='Official Results'!F43),1,0)+IF(AND(F20&lt;&gt;"",'Official Results'!F44&lt;&gt;"",F20='Official Results'!F44),1,0)+IF(AND(G20&lt;&gt;"",'Official Results'!F45&lt;&gt;"",G20='Official Results'!F45),1,0)+IF(AND(H20&lt;&gt;"",'Official Results'!F46&lt;&gt;"",H20='Official Results'!F46),1,0)+IF(AND(I20&lt;&gt;"",'Official Results'!F47&lt;&gt;"",I20='Official Results'!F47),1,0))*'Instructions &amp; Rules'!$K$11</f>
        <v>0</v>
      </c>
      <c r="K20" s="70">
        <f>(IF(AND(B20&lt;&gt;"",'Official Results'!F40&lt;&gt;"",B20='Official Results'!F40),1,0)+IF(AND(C20&lt;&gt;"",'Official Results'!F41&lt;&gt;"",C20='Official Results'!F41),1,0)+IF(AND(D20&lt;&gt;"",'Official Results'!F42&lt;&gt;"",D20='Official Results'!F42),1,0)+IF(AND(E20&lt;&gt;"",'Official Results'!F43&lt;&gt;"",E20='Official Results'!F43),1,0)+IF(AND(F20&lt;&gt;"",'Official Results'!F44&lt;&gt;"",F20='Official Results'!F44),1,0)+IF(AND(G20&lt;&gt;"",'Official Results'!F45&lt;&gt;"",G20='Official Results'!F45),1,0)+IF(AND(H20&lt;&gt;"",'Official Results'!F46&lt;&gt;"",H20='Official Results'!F46),1,0)+IF(AND(I20&lt;&gt;"",'Official Results'!F47&lt;&gt;"",I20='Official Results'!F47),1,0))</f>
        <v>0</v>
      </c>
      <c r="L20" s="72">
        <f t="shared" si="0"/>
        <v>0</v>
      </c>
      <c r="M20" s="72">
        <f t="shared" si="1"/>
        <v>0</v>
      </c>
    </row>
    <row r="21" spans="1:13" ht="15" customHeight="1">
      <c r="A21" s="75" t="str">
        <f>IF(Players!B21="","",Players!B21)</f>
        <v>Player 16</v>
      </c>
      <c r="B21" s="104"/>
      <c r="C21" s="104"/>
      <c r="D21" s="104"/>
      <c r="E21" s="104"/>
      <c r="F21" s="104"/>
      <c r="G21" s="104"/>
      <c r="H21" s="104"/>
      <c r="I21" s="104"/>
      <c r="J21" s="70">
        <f>(IF(AND(B21&lt;&gt;"",'Official Results'!F40&lt;&gt;"",B21='Official Results'!F40),1,0)+IF(AND(C21&lt;&gt;"",'Official Results'!F41&lt;&gt;"",C21='Official Results'!F41),1,0)+IF(AND(D21&lt;&gt;"",'Official Results'!F42&lt;&gt;"",D21='Official Results'!F42),1,0)+IF(AND(E21&lt;&gt;"",'Official Results'!F43&lt;&gt;"",E21='Official Results'!F43),1,0)+IF(AND(F21&lt;&gt;"",'Official Results'!F44&lt;&gt;"",F21='Official Results'!F44),1,0)+IF(AND(G21&lt;&gt;"",'Official Results'!F45&lt;&gt;"",G21='Official Results'!F45),1,0)+IF(AND(H21&lt;&gt;"",'Official Results'!F46&lt;&gt;"",H21='Official Results'!F46),1,0)+IF(AND(I21&lt;&gt;"",'Official Results'!F47&lt;&gt;"",I21='Official Results'!F47),1,0))*'Instructions &amp; Rules'!$K$11</f>
        <v>0</v>
      </c>
      <c r="K21" s="70">
        <f>(IF(AND(B21&lt;&gt;"",'Official Results'!F40&lt;&gt;"",B21='Official Results'!F40),1,0)+IF(AND(C21&lt;&gt;"",'Official Results'!F41&lt;&gt;"",C21='Official Results'!F41),1,0)+IF(AND(D21&lt;&gt;"",'Official Results'!F42&lt;&gt;"",D21='Official Results'!F42),1,0)+IF(AND(E21&lt;&gt;"",'Official Results'!F43&lt;&gt;"",E21='Official Results'!F43),1,0)+IF(AND(F21&lt;&gt;"",'Official Results'!F44&lt;&gt;"",F21='Official Results'!F44),1,0)+IF(AND(G21&lt;&gt;"",'Official Results'!F45&lt;&gt;"",G21='Official Results'!F45),1,0)+IF(AND(H21&lt;&gt;"",'Official Results'!F46&lt;&gt;"",H21='Official Results'!F46),1,0)+IF(AND(I21&lt;&gt;"",'Official Results'!F47&lt;&gt;"",I21='Official Results'!F47),1,0))</f>
        <v>0</v>
      </c>
      <c r="L21" s="72">
        <f t="shared" si="0"/>
        <v>0</v>
      </c>
      <c r="M21" s="72">
        <f t="shared" si="1"/>
        <v>0</v>
      </c>
    </row>
    <row r="22" spans="1:13" ht="15" customHeight="1">
      <c r="A22" s="75" t="str">
        <f>IF(Players!B22="","",Players!B22)</f>
        <v>Player 17</v>
      </c>
      <c r="B22" s="104"/>
      <c r="C22" s="104"/>
      <c r="D22" s="104"/>
      <c r="E22" s="104"/>
      <c r="F22" s="104"/>
      <c r="G22" s="104"/>
      <c r="H22" s="104"/>
      <c r="I22" s="104"/>
      <c r="J22" s="70">
        <f>(IF(AND(B22&lt;&gt;"",'Official Results'!F40&lt;&gt;"",B22='Official Results'!F40),1,0)+IF(AND(C22&lt;&gt;"",'Official Results'!F41&lt;&gt;"",C22='Official Results'!F41),1,0)+IF(AND(D22&lt;&gt;"",'Official Results'!F42&lt;&gt;"",D22='Official Results'!F42),1,0)+IF(AND(E22&lt;&gt;"",'Official Results'!F43&lt;&gt;"",E22='Official Results'!F43),1,0)+IF(AND(F22&lt;&gt;"",'Official Results'!F44&lt;&gt;"",F22='Official Results'!F44),1,0)+IF(AND(G22&lt;&gt;"",'Official Results'!F45&lt;&gt;"",G22='Official Results'!F45),1,0)+IF(AND(H22&lt;&gt;"",'Official Results'!F46&lt;&gt;"",H22='Official Results'!F46),1,0)+IF(AND(I22&lt;&gt;"",'Official Results'!F47&lt;&gt;"",I22='Official Results'!F47),1,0))*'Instructions &amp; Rules'!$K$11</f>
        <v>0</v>
      </c>
      <c r="K22" s="70">
        <f>(IF(AND(B22&lt;&gt;"",'Official Results'!F40&lt;&gt;"",B22='Official Results'!F40),1,0)+IF(AND(C22&lt;&gt;"",'Official Results'!F41&lt;&gt;"",C22='Official Results'!F41),1,0)+IF(AND(D22&lt;&gt;"",'Official Results'!F42&lt;&gt;"",D22='Official Results'!F42),1,0)+IF(AND(E22&lt;&gt;"",'Official Results'!F43&lt;&gt;"",E22='Official Results'!F43),1,0)+IF(AND(F22&lt;&gt;"",'Official Results'!F44&lt;&gt;"",F22='Official Results'!F44),1,0)+IF(AND(G22&lt;&gt;"",'Official Results'!F45&lt;&gt;"",G22='Official Results'!F45),1,0)+IF(AND(H22&lt;&gt;"",'Official Results'!F46&lt;&gt;"",H22='Official Results'!F46),1,0)+IF(AND(I22&lt;&gt;"",'Official Results'!F47&lt;&gt;"",I22='Official Results'!F47),1,0))</f>
        <v>0</v>
      </c>
      <c r="L22" s="72">
        <f t="shared" si="0"/>
        <v>0</v>
      </c>
      <c r="M22" s="72">
        <f t="shared" si="1"/>
        <v>0</v>
      </c>
    </row>
    <row r="23" spans="1:13" ht="15" customHeight="1">
      <c r="A23" s="75" t="str">
        <f>IF(Players!B23="","",Players!B23)</f>
        <v>Player 18</v>
      </c>
      <c r="B23" s="104"/>
      <c r="C23" s="104"/>
      <c r="D23" s="104"/>
      <c r="E23" s="104"/>
      <c r="F23" s="104"/>
      <c r="G23" s="104"/>
      <c r="H23" s="104"/>
      <c r="I23" s="104"/>
      <c r="J23" s="70">
        <f>(IF(AND(B23&lt;&gt;"",'Official Results'!F40&lt;&gt;"",B23='Official Results'!F40),1,0)+IF(AND(C23&lt;&gt;"",'Official Results'!F41&lt;&gt;"",C23='Official Results'!F41),1,0)+IF(AND(D23&lt;&gt;"",'Official Results'!F42&lt;&gt;"",D23='Official Results'!F42),1,0)+IF(AND(E23&lt;&gt;"",'Official Results'!F43&lt;&gt;"",E23='Official Results'!F43),1,0)+IF(AND(F23&lt;&gt;"",'Official Results'!F44&lt;&gt;"",F23='Official Results'!F44),1,0)+IF(AND(G23&lt;&gt;"",'Official Results'!F45&lt;&gt;"",G23='Official Results'!F45),1,0)+IF(AND(H23&lt;&gt;"",'Official Results'!F46&lt;&gt;"",H23='Official Results'!F46),1,0)+IF(AND(I23&lt;&gt;"",'Official Results'!F47&lt;&gt;"",I23='Official Results'!F47),1,0))*'Instructions &amp; Rules'!$K$11</f>
        <v>0</v>
      </c>
      <c r="K23" s="70">
        <f>(IF(AND(B23&lt;&gt;"",'Official Results'!F40&lt;&gt;"",B23='Official Results'!F40),1,0)+IF(AND(C23&lt;&gt;"",'Official Results'!F41&lt;&gt;"",C23='Official Results'!F41),1,0)+IF(AND(D23&lt;&gt;"",'Official Results'!F42&lt;&gt;"",D23='Official Results'!F42),1,0)+IF(AND(E23&lt;&gt;"",'Official Results'!F43&lt;&gt;"",E23='Official Results'!F43),1,0)+IF(AND(F23&lt;&gt;"",'Official Results'!F44&lt;&gt;"",F23='Official Results'!F44),1,0)+IF(AND(G23&lt;&gt;"",'Official Results'!F45&lt;&gt;"",G23='Official Results'!F45),1,0)+IF(AND(H23&lt;&gt;"",'Official Results'!F46&lt;&gt;"",H23='Official Results'!F46),1,0)+IF(AND(I23&lt;&gt;"",'Official Results'!F47&lt;&gt;"",I23='Official Results'!F47),1,0))</f>
        <v>0</v>
      </c>
      <c r="L23" s="72">
        <f t="shared" si="0"/>
        <v>0</v>
      </c>
      <c r="M23" s="72">
        <f t="shared" si="1"/>
        <v>0</v>
      </c>
    </row>
    <row r="24" spans="1:13" ht="15" customHeight="1">
      <c r="A24" s="75" t="str">
        <f>IF(Players!B24="","",Players!B24)</f>
        <v>Player 19</v>
      </c>
      <c r="B24" s="104"/>
      <c r="C24" s="104"/>
      <c r="D24" s="104"/>
      <c r="E24" s="104"/>
      <c r="F24" s="104"/>
      <c r="G24" s="104"/>
      <c r="H24" s="104"/>
      <c r="I24" s="104"/>
      <c r="J24" s="70">
        <f>(IF(AND(B24&lt;&gt;"",'Official Results'!F40&lt;&gt;"",B24='Official Results'!F40),1,0)+IF(AND(C24&lt;&gt;"",'Official Results'!F41&lt;&gt;"",C24='Official Results'!F41),1,0)+IF(AND(D24&lt;&gt;"",'Official Results'!F42&lt;&gt;"",D24='Official Results'!F42),1,0)+IF(AND(E24&lt;&gt;"",'Official Results'!F43&lt;&gt;"",E24='Official Results'!F43),1,0)+IF(AND(F24&lt;&gt;"",'Official Results'!F44&lt;&gt;"",F24='Official Results'!F44),1,0)+IF(AND(G24&lt;&gt;"",'Official Results'!F45&lt;&gt;"",G24='Official Results'!F45),1,0)+IF(AND(H24&lt;&gt;"",'Official Results'!F46&lt;&gt;"",H24='Official Results'!F46),1,0)+IF(AND(I24&lt;&gt;"",'Official Results'!F47&lt;&gt;"",I24='Official Results'!F47),1,0))*'Instructions &amp; Rules'!$K$11</f>
        <v>0</v>
      </c>
      <c r="K24" s="70">
        <f>(IF(AND(B24&lt;&gt;"",'Official Results'!F40&lt;&gt;"",B24='Official Results'!F40),1,0)+IF(AND(C24&lt;&gt;"",'Official Results'!F41&lt;&gt;"",C24='Official Results'!F41),1,0)+IF(AND(D24&lt;&gt;"",'Official Results'!F42&lt;&gt;"",D24='Official Results'!F42),1,0)+IF(AND(E24&lt;&gt;"",'Official Results'!F43&lt;&gt;"",E24='Official Results'!F43),1,0)+IF(AND(F24&lt;&gt;"",'Official Results'!F44&lt;&gt;"",F24='Official Results'!F44),1,0)+IF(AND(G24&lt;&gt;"",'Official Results'!F45&lt;&gt;"",G24='Official Results'!F45),1,0)+IF(AND(H24&lt;&gt;"",'Official Results'!F46&lt;&gt;"",H24='Official Results'!F46),1,0)+IF(AND(I24&lt;&gt;"",'Official Results'!F47&lt;&gt;"",I24='Official Results'!F47),1,0))</f>
        <v>0</v>
      </c>
      <c r="L24" s="72">
        <f t="shared" si="0"/>
        <v>0</v>
      </c>
      <c r="M24" s="72">
        <f t="shared" si="1"/>
        <v>0</v>
      </c>
    </row>
    <row r="25" spans="1:13" ht="15" customHeight="1">
      <c r="A25" s="75" t="str">
        <f>IF(Players!B25="","",Players!B25)</f>
        <v>Player 20</v>
      </c>
      <c r="B25" s="104"/>
      <c r="C25" s="104"/>
      <c r="D25" s="104"/>
      <c r="E25" s="104"/>
      <c r="F25" s="104"/>
      <c r="G25" s="104"/>
      <c r="H25" s="104"/>
      <c r="I25" s="104"/>
      <c r="J25" s="70">
        <f>(IF(AND(B25&lt;&gt;"",'Official Results'!F40&lt;&gt;"",B25='Official Results'!F40),1,0)+IF(AND(C25&lt;&gt;"",'Official Results'!F41&lt;&gt;"",C25='Official Results'!F41),1,0)+IF(AND(D25&lt;&gt;"",'Official Results'!F42&lt;&gt;"",D25='Official Results'!F42),1,0)+IF(AND(E25&lt;&gt;"",'Official Results'!F43&lt;&gt;"",E25='Official Results'!F43),1,0)+IF(AND(F25&lt;&gt;"",'Official Results'!F44&lt;&gt;"",F25='Official Results'!F44),1,0)+IF(AND(G25&lt;&gt;"",'Official Results'!F45&lt;&gt;"",G25='Official Results'!F45),1,0)+IF(AND(H25&lt;&gt;"",'Official Results'!F46&lt;&gt;"",H25='Official Results'!F46),1,0)+IF(AND(I25&lt;&gt;"",'Official Results'!F47&lt;&gt;"",I25='Official Results'!F47),1,0))*'Instructions &amp; Rules'!$K$11</f>
        <v>0</v>
      </c>
      <c r="K25" s="70">
        <f>(IF(AND(B25&lt;&gt;"",'Official Results'!F40&lt;&gt;"",B25='Official Results'!F40),1,0)+IF(AND(C25&lt;&gt;"",'Official Results'!F41&lt;&gt;"",C25='Official Results'!F41),1,0)+IF(AND(D25&lt;&gt;"",'Official Results'!F42&lt;&gt;"",D25='Official Results'!F42),1,0)+IF(AND(E25&lt;&gt;"",'Official Results'!F43&lt;&gt;"",E25='Official Results'!F43),1,0)+IF(AND(F25&lt;&gt;"",'Official Results'!F44&lt;&gt;"",F25='Official Results'!F44),1,0)+IF(AND(G25&lt;&gt;"",'Official Results'!F45&lt;&gt;"",G25='Official Results'!F45),1,0)+IF(AND(H25&lt;&gt;"",'Official Results'!F46&lt;&gt;"",H25='Official Results'!F46),1,0)+IF(AND(I25&lt;&gt;"",'Official Results'!F47&lt;&gt;"",I25='Official Results'!F47),1,0))</f>
        <v>0</v>
      </c>
      <c r="L25" s="72">
        <f t="shared" si="0"/>
        <v>0</v>
      </c>
      <c r="M25" s="72">
        <f t="shared" si="1"/>
        <v>0</v>
      </c>
    </row>
  </sheetData>
  <sheetProtection algorithmName="SHA-512" hashValue="/WVU0tlVnglwkQV5IB5Q40j16t+rxHGOUhaYDbFgup5TasK76sxA0eoUBFwFWEXDFPgW8V6gOYot5c4cuIiOlQ==" saltValue="08cuKLrEkkfQz6axFJaxjg==" spinCount="100000" sheet="1" objects="1" scenarios="1"/>
  <mergeCells count="2">
    <mergeCell ref="A4:L4"/>
    <mergeCell ref="A1:L2"/>
  </mergeCells>
  <dataValidations count="8">
    <dataValidation type="list" allowBlank="1" errorTitle="Invalid selection" error="Please choose a team from the dropdown list." promptTitle="Choose team" prompt="Select one of the teams allowed for this match." sqref="B6:B25" xr:uid="{00000000-0002-0000-0500-000000000000}">
      <formula1>KO_R16_1</formula1>
    </dataValidation>
    <dataValidation type="list" allowBlank="1" errorTitle="Invalid selection" error="Please choose a team from the dropdown list." promptTitle="Choose team" prompt="Select one of the teams allowed for this match." sqref="C6:C25" xr:uid="{00000000-0002-0000-0500-000001000000}">
      <formula1>KO_R16_2</formula1>
    </dataValidation>
    <dataValidation type="list" allowBlank="1" errorTitle="Invalid selection" error="Please choose a team from the dropdown list." promptTitle="Choose team" prompt="Select one of the teams allowed for this match." sqref="D6:D25" xr:uid="{00000000-0002-0000-0500-000002000000}">
      <formula1>KO_R16_3</formula1>
    </dataValidation>
    <dataValidation type="list" allowBlank="1" errorTitle="Invalid selection" error="Please choose a team from the dropdown list." promptTitle="Choose team" prompt="Select one of the teams allowed for this match." sqref="E6:E25" xr:uid="{00000000-0002-0000-0500-000003000000}">
      <formula1>KO_R16_4</formula1>
    </dataValidation>
    <dataValidation type="list" allowBlank="1" errorTitle="Invalid selection" error="Please choose a team from the dropdown list." promptTitle="Choose team" prompt="Select one of the teams allowed for this match." sqref="F6:F25" xr:uid="{00000000-0002-0000-0500-000004000000}">
      <formula1>KO_R16_5</formula1>
    </dataValidation>
    <dataValidation type="list" allowBlank="1" errorTitle="Invalid selection" error="Please choose a team from the dropdown list." promptTitle="Choose team" prompt="Select one of the teams allowed for this match." sqref="G6:G25" xr:uid="{00000000-0002-0000-0500-000005000000}">
      <formula1>KO_R16_6</formula1>
    </dataValidation>
    <dataValidation type="list" allowBlank="1" errorTitle="Invalid selection" error="Please choose a team from the dropdown list." promptTitle="Choose team" prompt="Select one of the teams allowed for this match." sqref="H6:H25" xr:uid="{00000000-0002-0000-0500-000006000000}">
      <formula1>KO_R16_7</formula1>
    </dataValidation>
    <dataValidation type="list" allowBlank="1" errorTitle="Invalid selection" error="Please choose a team from the dropdown list." promptTitle="Choose team" prompt="Select one of the teams allowed for this match." sqref="I6:I25" xr:uid="{00000000-0002-0000-0500-000007000000}">
      <formula1>KO_R16_8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"/>
  <sheetViews>
    <sheetView showGridLines="0" topLeftCell="A17" zoomScaleNormal="100" workbookViewId="0">
      <selection activeCell="B6" sqref="B6"/>
    </sheetView>
  </sheetViews>
  <sheetFormatPr defaultColWidth="8.7109375" defaultRowHeight="15" customHeight="1"/>
  <cols>
    <col min="1" max="1" width="27" customWidth="1"/>
    <col min="2" max="5" width="14" customWidth="1"/>
    <col min="6" max="6" width="12" customWidth="1"/>
    <col min="7" max="7" width="10" customWidth="1"/>
    <col min="8" max="8" width="12" customWidth="1"/>
  </cols>
  <sheetData>
    <row r="1" spans="1:9" ht="15" customHeight="1">
      <c r="A1" s="162" t="s">
        <v>281</v>
      </c>
      <c r="B1" s="232"/>
      <c r="C1" s="232"/>
      <c r="D1" s="232"/>
      <c r="E1" s="232"/>
      <c r="F1" s="232"/>
      <c r="G1" s="232"/>
      <c r="H1" s="233"/>
    </row>
    <row r="2" spans="1:9" ht="15" customHeight="1">
      <c r="A2" s="234"/>
      <c r="B2" s="235"/>
      <c r="C2" s="235"/>
      <c r="D2" s="235"/>
      <c r="E2" s="235"/>
      <c r="F2" s="235"/>
      <c r="G2" s="235"/>
      <c r="H2" s="236"/>
    </row>
    <row r="4" spans="1:9" ht="15" customHeight="1">
      <c r="A4" s="171" t="s">
        <v>282</v>
      </c>
      <c r="B4" s="243"/>
      <c r="C4" s="243"/>
      <c r="D4" s="243"/>
      <c r="E4" s="243"/>
      <c r="F4" s="243"/>
      <c r="G4" s="243"/>
      <c r="H4" s="243"/>
    </row>
    <row r="5" spans="1:9" ht="28.35" customHeight="1">
      <c r="A5" s="63" t="s">
        <v>267</v>
      </c>
      <c r="B5" s="55" t="s">
        <v>258</v>
      </c>
      <c r="C5" s="45" t="s">
        <v>259</v>
      </c>
      <c r="D5" s="55" t="s">
        <v>260</v>
      </c>
      <c r="E5" s="45" t="s">
        <v>261</v>
      </c>
      <c r="F5" s="64" t="s">
        <v>277</v>
      </c>
      <c r="G5" s="65" t="s">
        <v>278</v>
      </c>
      <c r="H5" s="66" t="s">
        <v>274</v>
      </c>
    </row>
    <row r="6" spans="1:9" ht="15" customHeight="1">
      <c r="A6" s="75" t="str">
        <f>IF(Players!B6="","",Players!B6)</f>
        <v>Febby Yudhi Pratama</v>
      </c>
      <c r="B6" s="104"/>
      <c r="C6" s="104"/>
      <c r="D6" s="104"/>
      <c r="E6" s="104"/>
      <c r="F6" s="70">
        <f>(IF(AND(B6&lt;&gt;"",'Official Results'!I40&lt;&gt;"",B6='Official Results'!I40),1,0)+IF(AND(C6&lt;&gt;"",'Official Results'!I41&lt;&gt;"",C6='Official Results'!I41),1,0)+IF(AND(D6&lt;&gt;"",'Official Results'!I42&lt;&gt;"",D6='Official Results'!I42),1,0)+IF(AND(E6&lt;&gt;"",'Official Results'!I43&lt;&gt;"",E6='Official Results'!I43),1,0))*'Instructions &amp; Rules'!$K$12</f>
        <v>0</v>
      </c>
      <c r="G6" s="70">
        <f>(IF(AND(B6&lt;&gt;"",'Official Results'!I40&lt;&gt;"",B6='Official Results'!I40),1,0)+IF(AND(C6&lt;&gt;"",'Official Results'!I41&lt;&gt;"",C6='Official Results'!I41),1,0)+IF(AND(D6&lt;&gt;"",'Official Results'!I42&lt;&gt;"",D6='Official Results'!I42),1,0)+IF(AND(E6&lt;&gt;"",'Official Results'!I43&lt;&gt;"",E6='Official Results'!I43),1,0))</f>
        <v>0</v>
      </c>
      <c r="H6" s="72">
        <f t="shared" ref="H6:H25" si="0">COUNTIF(B6:E6,"&lt;&gt;")/4</f>
        <v>0</v>
      </c>
      <c r="I6" s="72">
        <f t="shared" ref="I6:I25" si="1">COUNTIF(B6:E6,"&lt;&gt;")/4</f>
        <v>0</v>
      </c>
    </row>
    <row r="7" spans="1:9" ht="15" customHeight="1">
      <c r="A7" s="75" t="str">
        <f>IF(Players!B7="","",Players!B7)</f>
        <v>Fathan Mauludin</v>
      </c>
      <c r="B7" s="104"/>
      <c r="C7" s="104"/>
      <c r="D7" s="104"/>
      <c r="E7" s="104"/>
      <c r="F7" s="70">
        <f>(IF(AND(B7&lt;&gt;"",'Official Results'!I40&lt;&gt;"",B7='Official Results'!I40),1,0)+IF(AND(C7&lt;&gt;"",'Official Results'!I41&lt;&gt;"",C7='Official Results'!I41),1,0)+IF(AND(D7&lt;&gt;"",'Official Results'!I42&lt;&gt;"",D7='Official Results'!I42),1,0)+IF(AND(E7&lt;&gt;"",'Official Results'!I43&lt;&gt;"",E7='Official Results'!I43),1,0))*'Instructions &amp; Rules'!$K$12</f>
        <v>0</v>
      </c>
      <c r="G7" s="70">
        <f>(IF(AND(B7&lt;&gt;"",'Official Results'!I40&lt;&gt;"",B7='Official Results'!I40),1,0)+IF(AND(C7&lt;&gt;"",'Official Results'!I41&lt;&gt;"",C7='Official Results'!I41),1,0)+IF(AND(D7&lt;&gt;"",'Official Results'!I42&lt;&gt;"",D7='Official Results'!I42),1,0)+IF(AND(E7&lt;&gt;"",'Official Results'!I43&lt;&gt;"",E7='Official Results'!I43),1,0))</f>
        <v>0</v>
      </c>
      <c r="H7" s="72">
        <f t="shared" si="0"/>
        <v>0</v>
      </c>
      <c r="I7" s="72">
        <f t="shared" si="1"/>
        <v>0</v>
      </c>
    </row>
    <row r="8" spans="1:9" ht="15" customHeight="1">
      <c r="A8" s="75" t="str">
        <f>IF(Players!B8="","",Players!B8)</f>
        <v>M Fakhri Auladana</v>
      </c>
      <c r="B8" s="104"/>
      <c r="C8" s="104"/>
      <c r="D8" s="104"/>
      <c r="E8" s="104"/>
      <c r="F8" s="70">
        <f>(IF(AND(B8&lt;&gt;"",'Official Results'!I40&lt;&gt;"",B8='Official Results'!I40),1,0)+IF(AND(C8&lt;&gt;"",'Official Results'!I41&lt;&gt;"",C8='Official Results'!I41),1,0)+IF(AND(D8&lt;&gt;"",'Official Results'!I42&lt;&gt;"",D8='Official Results'!I42),1,0)+IF(AND(E8&lt;&gt;"",'Official Results'!I43&lt;&gt;"",E8='Official Results'!I43),1,0))*'Instructions &amp; Rules'!$K$12</f>
        <v>0</v>
      </c>
      <c r="G8" s="70">
        <f>(IF(AND(B8&lt;&gt;"",'Official Results'!I40&lt;&gt;"",B8='Official Results'!I40),1,0)+IF(AND(C8&lt;&gt;"",'Official Results'!I41&lt;&gt;"",C8='Official Results'!I41),1,0)+IF(AND(D8&lt;&gt;"",'Official Results'!I42&lt;&gt;"",D8='Official Results'!I42),1,0)+IF(AND(E8&lt;&gt;"",'Official Results'!I43&lt;&gt;"",E8='Official Results'!I43),1,0))</f>
        <v>0</v>
      </c>
      <c r="H8" s="72">
        <f t="shared" si="0"/>
        <v>0</v>
      </c>
      <c r="I8" s="72">
        <f t="shared" si="1"/>
        <v>0</v>
      </c>
    </row>
    <row r="9" spans="1:9" ht="15" customHeight="1">
      <c r="A9" s="75" t="str">
        <f>IF(Players!B9="","",Players!B9)</f>
        <v>Muhammad Naufal Aiman</v>
      </c>
      <c r="B9" s="104"/>
      <c r="C9" s="104"/>
      <c r="D9" s="104"/>
      <c r="E9" s="104"/>
      <c r="F9" s="70">
        <f>(IF(AND(B9&lt;&gt;"",'Official Results'!I40&lt;&gt;"",B9='Official Results'!I40),1,0)+IF(AND(C9&lt;&gt;"",'Official Results'!I41&lt;&gt;"",C9='Official Results'!I41),1,0)+IF(AND(D9&lt;&gt;"",'Official Results'!I42&lt;&gt;"",D9='Official Results'!I42),1,0)+IF(AND(E9&lt;&gt;"",'Official Results'!I43&lt;&gt;"",E9='Official Results'!I43),1,0))*'Instructions &amp; Rules'!$K$12</f>
        <v>0</v>
      </c>
      <c r="G9" s="70">
        <f>(IF(AND(B9&lt;&gt;"",'Official Results'!I40&lt;&gt;"",B9='Official Results'!I40),1,0)+IF(AND(C9&lt;&gt;"",'Official Results'!I41&lt;&gt;"",C9='Official Results'!I41),1,0)+IF(AND(D9&lt;&gt;"",'Official Results'!I42&lt;&gt;"",D9='Official Results'!I42),1,0)+IF(AND(E9&lt;&gt;"",'Official Results'!I43&lt;&gt;"",E9='Official Results'!I43),1,0))</f>
        <v>0</v>
      </c>
      <c r="H9" s="72">
        <f t="shared" si="0"/>
        <v>0</v>
      </c>
      <c r="I9" s="72">
        <f t="shared" si="1"/>
        <v>0</v>
      </c>
    </row>
    <row r="10" spans="1:9" ht="15" customHeight="1">
      <c r="A10" s="75" t="str">
        <f>IF(Players!B10="","",Players!B10)</f>
        <v>Ahade</v>
      </c>
      <c r="B10" s="104"/>
      <c r="C10" s="104"/>
      <c r="D10" s="104"/>
      <c r="E10" s="104"/>
      <c r="F10" s="70">
        <f>(IF(AND(B10&lt;&gt;"",'Official Results'!I40&lt;&gt;"",B10='Official Results'!I40),1,0)+IF(AND(C10&lt;&gt;"",'Official Results'!I41&lt;&gt;"",C10='Official Results'!I41),1,0)+IF(AND(D10&lt;&gt;"",'Official Results'!I42&lt;&gt;"",D10='Official Results'!I42),1,0)+IF(AND(E10&lt;&gt;"",'Official Results'!I43&lt;&gt;"",E10='Official Results'!I43),1,0))*'Instructions &amp; Rules'!$K$12</f>
        <v>0</v>
      </c>
      <c r="G10" s="70">
        <f>(IF(AND(B10&lt;&gt;"",'Official Results'!I40&lt;&gt;"",B10='Official Results'!I40),1,0)+IF(AND(C10&lt;&gt;"",'Official Results'!I41&lt;&gt;"",C10='Official Results'!I41),1,0)+IF(AND(D10&lt;&gt;"",'Official Results'!I42&lt;&gt;"",D10='Official Results'!I42),1,0)+IF(AND(E10&lt;&gt;"",'Official Results'!I43&lt;&gt;"",E10='Official Results'!I43),1,0))</f>
        <v>0</v>
      </c>
      <c r="H10" s="72">
        <f t="shared" si="0"/>
        <v>0</v>
      </c>
      <c r="I10" s="72">
        <f t="shared" si="1"/>
        <v>0</v>
      </c>
    </row>
    <row r="11" spans="1:9" ht="15" customHeight="1">
      <c r="A11" s="75" t="str">
        <f>IF(Players!B11="","",Players!B11)</f>
        <v>Aldy</v>
      </c>
      <c r="B11" s="104"/>
      <c r="C11" s="104"/>
      <c r="D11" s="104"/>
      <c r="E11" s="104"/>
      <c r="F11" s="70">
        <f>(IF(AND(B11&lt;&gt;"",'Official Results'!I40&lt;&gt;"",B11='Official Results'!I40),1,0)+IF(AND(C11&lt;&gt;"",'Official Results'!I41&lt;&gt;"",C11='Official Results'!I41),1,0)+IF(AND(D11&lt;&gt;"",'Official Results'!I42&lt;&gt;"",D11='Official Results'!I42),1,0)+IF(AND(E11&lt;&gt;"",'Official Results'!I43&lt;&gt;"",E11='Official Results'!I43),1,0))*'Instructions &amp; Rules'!$K$12</f>
        <v>0</v>
      </c>
      <c r="G11" s="70">
        <f>(IF(AND(B11&lt;&gt;"",'Official Results'!I40&lt;&gt;"",B11='Official Results'!I40),1,0)+IF(AND(C11&lt;&gt;"",'Official Results'!I41&lt;&gt;"",C11='Official Results'!I41),1,0)+IF(AND(D11&lt;&gt;"",'Official Results'!I42&lt;&gt;"",D11='Official Results'!I42),1,0)+IF(AND(E11&lt;&gt;"",'Official Results'!I43&lt;&gt;"",E11='Official Results'!I43),1,0))</f>
        <v>0</v>
      </c>
      <c r="H11" s="72">
        <f t="shared" si="0"/>
        <v>0</v>
      </c>
      <c r="I11" s="72">
        <f t="shared" si="1"/>
        <v>0</v>
      </c>
    </row>
    <row r="12" spans="1:9" ht="15" customHeight="1">
      <c r="A12" s="75" t="str">
        <f>IF(Players!B12="","",Players!B12)</f>
        <v>Affaninho</v>
      </c>
      <c r="B12" s="104"/>
      <c r="C12" s="104"/>
      <c r="D12" s="104"/>
      <c r="E12" s="104"/>
      <c r="F12" s="70">
        <f>(IF(AND(B12&lt;&gt;"",'Official Results'!I40&lt;&gt;"",B12='Official Results'!I40),1,0)+IF(AND(C12&lt;&gt;"",'Official Results'!I41&lt;&gt;"",C12='Official Results'!I41),1,0)+IF(AND(D12&lt;&gt;"",'Official Results'!I42&lt;&gt;"",D12='Official Results'!I42),1,0)+IF(AND(E12&lt;&gt;"",'Official Results'!I43&lt;&gt;"",E12='Official Results'!I43),1,0))*'Instructions &amp; Rules'!$K$12</f>
        <v>0</v>
      </c>
      <c r="G12" s="70">
        <f>(IF(AND(B12&lt;&gt;"",'Official Results'!I40&lt;&gt;"",B12='Official Results'!I40),1,0)+IF(AND(C12&lt;&gt;"",'Official Results'!I41&lt;&gt;"",C12='Official Results'!I41),1,0)+IF(AND(D12&lt;&gt;"",'Official Results'!I42&lt;&gt;"",D12='Official Results'!I42),1,0)+IF(AND(E12&lt;&gt;"",'Official Results'!I43&lt;&gt;"",E12='Official Results'!I43),1,0))</f>
        <v>0</v>
      </c>
      <c r="H12" s="72">
        <f t="shared" si="0"/>
        <v>0</v>
      </c>
      <c r="I12" s="72">
        <f t="shared" si="1"/>
        <v>0</v>
      </c>
    </row>
    <row r="13" spans="1:9" ht="15" customHeight="1">
      <c r="A13" s="75" t="str">
        <f>IF(Players!B13="","",Players!B13)</f>
        <v>Aji</v>
      </c>
      <c r="B13" s="104"/>
      <c r="C13" s="104"/>
      <c r="D13" s="104"/>
      <c r="E13" s="104"/>
      <c r="F13" s="70">
        <f>(IF(AND(B13&lt;&gt;"",'Official Results'!I40&lt;&gt;"",B13='Official Results'!I40),1,0)+IF(AND(C13&lt;&gt;"",'Official Results'!I41&lt;&gt;"",C13='Official Results'!I41),1,0)+IF(AND(D13&lt;&gt;"",'Official Results'!I42&lt;&gt;"",D13='Official Results'!I42),1,0)+IF(AND(E13&lt;&gt;"",'Official Results'!I43&lt;&gt;"",E13='Official Results'!I43),1,0))*'Instructions &amp; Rules'!$K$12</f>
        <v>0</v>
      </c>
      <c r="G13" s="70">
        <f>(IF(AND(B13&lt;&gt;"",'Official Results'!I40&lt;&gt;"",B13='Official Results'!I40),1,0)+IF(AND(C13&lt;&gt;"",'Official Results'!I41&lt;&gt;"",C13='Official Results'!I41),1,0)+IF(AND(D13&lt;&gt;"",'Official Results'!I42&lt;&gt;"",D13='Official Results'!I42),1,0)+IF(AND(E13&lt;&gt;"",'Official Results'!I43&lt;&gt;"",E13='Official Results'!I43),1,0))</f>
        <v>0</v>
      </c>
      <c r="H13" s="72">
        <f t="shared" si="0"/>
        <v>0</v>
      </c>
      <c r="I13" s="72">
        <f t="shared" si="1"/>
        <v>0</v>
      </c>
    </row>
    <row r="14" spans="1:9" ht="15" customHeight="1">
      <c r="A14" s="75" t="str">
        <f>IF(Players!B14="","",Players!B14)</f>
        <v>Dausman</v>
      </c>
      <c r="B14" s="104"/>
      <c r="C14" s="104"/>
      <c r="D14" s="104"/>
      <c r="E14" s="104"/>
      <c r="F14" s="70">
        <f>(IF(AND(B14&lt;&gt;"",'Official Results'!I40&lt;&gt;"",B14='Official Results'!I40),1,0)+IF(AND(C14&lt;&gt;"",'Official Results'!I41&lt;&gt;"",C14='Official Results'!I41),1,0)+IF(AND(D14&lt;&gt;"",'Official Results'!I42&lt;&gt;"",D14='Official Results'!I42),1,0)+IF(AND(E14&lt;&gt;"",'Official Results'!I43&lt;&gt;"",E14='Official Results'!I43),1,0))*'Instructions &amp; Rules'!$K$12</f>
        <v>0</v>
      </c>
      <c r="G14" s="70">
        <f>(IF(AND(B14&lt;&gt;"",'Official Results'!I40&lt;&gt;"",B14='Official Results'!I40),1,0)+IF(AND(C14&lt;&gt;"",'Official Results'!I41&lt;&gt;"",C14='Official Results'!I41),1,0)+IF(AND(D14&lt;&gt;"",'Official Results'!I42&lt;&gt;"",D14='Official Results'!I42),1,0)+IF(AND(E14&lt;&gt;"",'Official Results'!I43&lt;&gt;"",E14='Official Results'!I43),1,0))</f>
        <v>0</v>
      </c>
      <c r="H14" s="72">
        <f t="shared" si="0"/>
        <v>0</v>
      </c>
      <c r="I14" s="72">
        <f t="shared" si="1"/>
        <v>0</v>
      </c>
    </row>
    <row r="15" spans="1:9" ht="15" customHeight="1">
      <c r="A15" s="75" t="str">
        <f>IF(Players!B15="","",Players!B15)</f>
        <v>Wawa</v>
      </c>
      <c r="B15" s="104"/>
      <c r="C15" s="104"/>
      <c r="D15" s="104"/>
      <c r="E15" s="104"/>
      <c r="F15" s="70">
        <f>(IF(AND(B15&lt;&gt;"",'Official Results'!I40&lt;&gt;"",B15='Official Results'!I40),1,0)+IF(AND(C15&lt;&gt;"",'Official Results'!I41&lt;&gt;"",C15='Official Results'!I41),1,0)+IF(AND(D15&lt;&gt;"",'Official Results'!I42&lt;&gt;"",D15='Official Results'!I42),1,0)+IF(AND(E15&lt;&gt;"",'Official Results'!I43&lt;&gt;"",E15='Official Results'!I43),1,0))*'Instructions &amp; Rules'!$K$12</f>
        <v>0</v>
      </c>
      <c r="G15" s="70">
        <f>(IF(AND(B15&lt;&gt;"",'Official Results'!I40&lt;&gt;"",B15='Official Results'!I40),1,0)+IF(AND(C15&lt;&gt;"",'Official Results'!I41&lt;&gt;"",C15='Official Results'!I41),1,0)+IF(AND(D15&lt;&gt;"",'Official Results'!I42&lt;&gt;"",D15='Official Results'!I42),1,0)+IF(AND(E15&lt;&gt;"",'Official Results'!I43&lt;&gt;"",E15='Official Results'!I43),1,0))</f>
        <v>0</v>
      </c>
      <c r="H15" s="72">
        <f t="shared" si="0"/>
        <v>0</v>
      </c>
      <c r="I15" s="72">
        <f t="shared" si="1"/>
        <v>0</v>
      </c>
    </row>
    <row r="16" spans="1:9" ht="15" customHeight="1">
      <c r="A16" s="75" t="str">
        <f>IF(Players!B16="","",Players!B16)</f>
        <v>Player 11</v>
      </c>
      <c r="B16" s="104"/>
      <c r="C16" s="104"/>
      <c r="D16" s="104"/>
      <c r="E16" s="104"/>
      <c r="F16" s="70">
        <f>(IF(AND(B16&lt;&gt;"",'Official Results'!I40&lt;&gt;"",B16='Official Results'!I40),1,0)+IF(AND(C16&lt;&gt;"",'Official Results'!I41&lt;&gt;"",C16='Official Results'!I41),1,0)+IF(AND(D16&lt;&gt;"",'Official Results'!I42&lt;&gt;"",D16='Official Results'!I42),1,0)+IF(AND(E16&lt;&gt;"",'Official Results'!I43&lt;&gt;"",E16='Official Results'!I43),1,0))*'Instructions &amp; Rules'!$K$12</f>
        <v>0</v>
      </c>
      <c r="G16" s="70">
        <f>(IF(AND(B16&lt;&gt;"",'Official Results'!I40&lt;&gt;"",B16='Official Results'!I40),1,0)+IF(AND(C16&lt;&gt;"",'Official Results'!I41&lt;&gt;"",C16='Official Results'!I41),1,0)+IF(AND(D16&lt;&gt;"",'Official Results'!I42&lt;&gt;"",D16='Official Results'!I42),1,0)+IF(AND(E16&lt;&gt;"",'Official Results'!I43&lt;&gt;"",E16='Official Results'!I43),1,0))</f>
        <v>0</v>
      </c>
      <c r="H16" s="72">
        <f t="shared" si="0"/>
        <v>0</v>
      </c>
      <c r="I16" s="72">
        <f t="shared" si="1"/>
        <v>0</v>
      </c>
    </row>
    <row r="17" spans="1:9" ht="15" customHeight="1">
      <c r="A17" s="75" t="str">
        <f>IF(Players!B17="","",Players!B17)</f>
        <v>Player 12</v>
      </c>
      <c r="B17" s="104"/>
      <c r="C17" s="104"/>
      <c r="D17" s="104"/>
      <c r="E17" s="104"/>
      <c r="F17" s="70">
        <f>(IF(AND(B17&lt;&gt;"",'Official Results'!I40&lt;&gt;"",B17='Official Results'!I40),1,0)+IF(AND(C17&lt;&gt;"",'Official Results'!I41&lt;&gt;"",C17='Official Results'!I41),1,0)+IF(AND(D17&lt;&gt;"",'Official Results'!I42&lt;&gt;"",D17='Official Results'!I42),1,0)+IF(AND(E17&lt;&gt;"",'Official Results'!I43&lt;&gt;"",E17='Official Results'!I43),1,0))*'Instructions &amp; Rules'!$K$12</f>
        <v>0</v>
      </c>
      <c r="G17" s="70">
        <f>(IF(AND(B17&lt;&gt;"",'Official Results'!I40&lt;&gt;"",B17='Official Results'!I40),1,0)+IF(AND(C17&lt;&gt;"",'Official Results'!I41&lt;&gt;"",C17='Official Results'!I41),1,0)+IF(AND(D17&lt;&gt;"",'Official Results'!I42&lt;&gt;"",D17='Official Results'!I42),1,0)+IF(AND(E17&lt;&gt;"",'Official Results'!I43&lt;&gt;"",E17='Official Results'!I43),1,0))</f>
        <v>0</v>
      </c>
      <c r="H17" s="72">
        <f t="shared" si="0"/>
        <v>0</v>
      </c>
      <c r="I17" s="72">
        <f t="shared" si="1"/>
        <v>0</v>
      </c>
    </row>
    <row r="18" spans="1:9" ht="15" customHeight="1">
      <c r="A18" s="75" t="str">
        <f>IF(Players!B18="","",Players!B18)</f>
        <v>Player 13</v>
      </c>
      <c r="B18" s="104"/>
      <c r="C18" s="104"/>
      <c r="D18" s="104"/>
      <c r="E18" s="104"/>
      <c r="F18" s="70">
        <f>(IF(AND(B18&lt;&gt;"",'Official Results'!I40&lt;&gt;"",B18='Official Results'!I40),1,0)+IF(AND(C18&lt;&gt;"",'Official Results'!I41&lt;&gt;"",C18='Official Results'!I41),1,0)+IF(AND(D18&lt;&gt;"",'Official Results'!I42&lt;&gt;"",D18='Official Results'!I42),1,0)+IF(AND(E18&lt;&gt;"",'Official Results'!I43&lt;&gt;"",E18='Official Results'!I43),1,0))*'Instructions &amp; Rules'!$K$12</f>
        <v>0</v>
      </c>
      <c r="G18" s="70">
        <f>(IF(AND(B18&lt;&gt;"",'Official Results'!I40&lt;&gt;"",B18='Official Results'!I40),1,0)+IF(AND(C18&lt;&gt;"",'Official Results'!I41&lt;&gt;"",C18='Official Results'!I41),1,0)+IF(AND(D18&lt;&gt;"",'Official Results'!I42&lt;&gt;"",D18='Official Results'!I42),1,0)+IF(AND(E18&lt;&gt;"",'Official Results'!I43&lt;&gt;"",E18='Official Results'!I43),1,0))</f>
        <v>0</v>
      </c>
      <c r="H18" s="72">
        <f t="shared" si="0"/>
        <v>0</v>
      </c>
      <c r="I18" s="72">
        <f t="shared" si="1"/>
        <v>0</v>
      </c>
    </row>
    <row r="19" spans="1:9" ht="15" customHeight="1">
      <c r="A19" s="75" t="str">
        <f>IF(Players!B19="","",Players!B19)</f>
        <v>Player 14</v>
      </c>
      <c r="B19" s="104"/>
      <c r="C19" s="104"/>
      <c r="D19" s="104"/>
      <c r="E19" s="104"/>
      <c r="F19" s="70">
        <f>(IF(AND(B19&lt;&gt;"",'Official Results'!I40&lt;&gt;"",B19='Official Results'!I40),1,0)+IF(AND(C19&lt;&gt;"",'Official Results'!I41&lt;&gt;"",C19='Official Results'!I41),1,0)+IF(AND(D19&lt;&gt;"",'Official Results'!I42&lt;&gt;"",D19='Official Results'!I42),1,0)+IF(AND(E19&lt;&gt;"",'Official Results'!I43&lt;&gt;"",E19='Official Results'!I43),1,0))*'Instructions &amp; Rules'!$K$12</f>
        <v>0</v>
      </c>
      <c r="G19" s="70">
        <f>(IF(AND(B19&lt;&gt;"",'Official Results'!I40&lt;&gt;"",B19='Official Results'!I40),1,0)+IF(AND(C19&lt;&gt;"",'Official Results'!I41&lt;&gt;"",C19='Official Results'!I41),1,0)+IF(AND(D19&lt;&gt;"",'Official Results'!I42&lt;&gt;"",D19='Official Results'!I42),1,0)+IF(AND(E19&lt;&gt;"",'Official Results'!I43&lt;&gt;"",E19='Official Results'!I43),1,0))</f>
        <v>0</v>
      </c>
      <c r="H19" s="72">
        <f t="shared" si="0"/>
        <v>0</v>
      </c>
      <c r="I19" s="72">
        <f t="shared" si="1"/>
        <v>0</v>
      </c>
    </row>
    <row r="20" spans="1:9" ht="15" customHeight="1">
      <c r="A20" s="75" t="str">
        <f>IF(Players!B20="","",Players!B20)</f>
        <v>Player 15</v>
      </c>
      <c r="B20" s="104"/>
      <c r="C20" s="104"/>
      <c r="D20" s="104"/>
      <c r="E20" s="104"/>
      <c r="F20" s="70">
        <f>(IF(AND(B20&lt;&gt;"",'Official Results'!I40&lt;&gt;"",B20='Official Results'!I40),1,0)+IF(AND(C20&lt;&gt;"",'Official Results'!I41&lt;&gt;"",C20='Official Results'!I41),1,0)+IF(AND(D20&lt;&gt;"",'Official Results'!I42&lt;&gt;"",D20='Official Results'!I42),1,0)+IF(AND(E20&lt;&gt;"",'Official Results'!I43&lt;&gt;"",E20='Official Results'!I43),1,0))*'Instructions &amp; Rules'!$K$12</f>
        <v>0</v>
      </c>
      <c r="G20" s="70">
        <f>(IF(AND(B20&lt;&gt;"",'Official Results'!I40&lt;&gt;"",B20='Official Results'!I40),1,0)+IF(AND(C20&lt;&gt;"",'Official Results'!I41&lt;&gt;"",C20='Official Results'!I41),1,0)+IF(AND(D20&lt;&gt;"",'Official Results'!I42&lt;&gt;"",D20='Official Results'!I42),1,0)+IF(AND(E20&lt;&gt;"",'Official Results'!I43&lt;&gt;"",E20='Official Results'!I43),1,0))</f>
        <v>0</v>
      </c>
      <c r="H20" s="72">
        <f t="shared" si="0"/>
        <v>0</v>
      </c>
      <c r="I20" s="72">
        <f t="shared" si="1"/>
        <v>0</v>
      </c>
    </row>
    <row r="21" spans="1:9" ht="15" customHeight="1">
      <c r="A21" s="75" t="str">
        <f>IF(Players!B21="","",Players!B21)</f>
        <v>Player 16</v>
      </c>
      <c r="B21" s="104"/>
      <c r="C21" s="104"/>
      <c r="D21" s="104"/>
      <c r="E21" s="104"/>
      <c r="F21" s="70">
        <f>(IF(AND(B21&lt;&gt;"",'Official Results'!I40&lt;&gt;"",B21='Official Results'!I40),1,0)+IF(AND(C21&lt;&gt;"",'Official Results'!I41&lt;&gt;"",C21='Official Results'!I41),1,0)+IF(AND(D21&lt;&gt;"",'Official Results'!I42&lt;&gt;"",D21='Official Results'!I42),1,0)+IF(AND(E21&lt;&gt;"",'Official Results'!I43&lt;&gt;"",E21='Official Results'!I43),1,0))*'Instructions &amp; Rules'!$K$12</f>
        <v>0</v>
      </c>
      <c r="G21" s="70">
        <f>(IF(AND(B21&lt;&gt;"",'Official Results'!I40&lt;&gt;"",B21='Official Results'!I40),1,0)+IF(AND(C21&lt;&gt;"",'Official Results'!I41&lt;&gt;"",C21='Official Results'!I41),1,0)+IF(AND(D21&lt;&gt;"",'Official Results'!I42&lt;&gt;"",D21='Official Results'!I42),1,0)+IF(AND(E21&lt;&gt;"",'Official Results'!I43&lt;&gt;"",E21='Official Results'!I43),1,0))</f>
        <v>0</v>
      </c>
      <c r="H21" s="72">
        <f t="shared" si="0"/>
        <v>0</v>
      </c>
      <c r="I21" s="72">
        <f t="shared" si="1"/>
        <v>0</v>
      </c>
    </row>
    <row r="22" spans="1:9" ht="15" customHeight="1">
      <c r="A22" s="75" t="str">
        <f>IF(Players!B22="","",Players!B22)</f>
        <v>Player 17</v>
      </c>
      <c r="B22" s="104"/>
      <c r="C22" s="104"/>
      <c r="D22" s="104"/>
      <c r="E22" s="104"/>
      <c r="F22" s="70">
        <f>(IF(AND(B22&lt;&gt;"",'Official Results'!I40&lt;&gt;"",B22='Official Results'!I40),1,0)+IF(AND(C22&lt;&gt;"",'Official Results'!I41&lt;&gt;"",C22='Official Results'!I41),1,0)+IF(AND(D22&lt;&gt;"",'Official Results'!I42&lt;&gt;"",D22='Official Results'!I42),1,0)+IF(AND(E22&lt;&gt;"",'Official Results'!I43&lt;&gt;"",E22='Official Results'!I43),1,0))*'Instructions &amp; Rules'!$K$12</f>
        <v>0</v>
      </c>
      <c r="G22" s="70">
        <f>(IF(AND(B22&lt;&gt;"",'Official Results'!I40&lt;&gt;"",B22='Official Results'!I40),1,0)+IF(AND(C22&lt;&gt;"",'Official Results'!I41&lt;&gt;"",C22='Official Results'!I41),1,0)+IF(AND(D22&lt;&gt;"",'Official Results'!I42&lt;&gt;"",D22='Official Results'!I42),1,0)+IF(AND(E22&lt;&gt;"",'Official Results'!I43&lt;&gt;"",E22='Official Results'!I43),1,0))</f>
        <v>0</v>
      </c>
      <c r="H22" s="72">
        <f t="shared" si="0"/>
        <v>0</v>
      </c>
      <c r="I22" s="72">
        <f t="shared" si="1"/>
        <v>0</v>
      </c>
    </row>
    <row r="23" spans="1:9" ht="15" customHeight="1">
      <c r="A23" s="75" t="str">
        <f>IF(Players!B23="","",Players!B23)</f>
        <v>Player 18</v>
      </c>
      <c r="B23" s="104"/>
      <c r="C23" s="104"/>
      <c r="D23" s="104"/>
      <c r="E23" s="104"/>
      <c r="F23" s="70">
        <f>(IF(AND(B23&lt;&gt;"",'Official Results'!I40&lt;&gt;"",B23='Official Results'!I40),1,0)+IF(AND(C23&lt;&gt;"",'Official Results'!I41&lt;&gt;"",C23='Official Results'!I41),1,0)+IF(AND(D23&lt;&gt;"",'Official Results'!I42&lt;&gt;"",D23='Official Results'!I42),1,0)+IF(AND(E23&lt;&gt;"",'Official Results'!I43&lt;&gt;"",E23='Official Results'!I43),1,0))*'Instructions &amp; Rules'!$K$12</f>
        <v>0</v>
      </c>
      <c r="G23" s="70">
        <f>(IF(AND(B23&lt;&gt;"",'Official Results'!I40&lt;&gt;"",B23='Official Results'!I40),1,0)+IF(AND(C23&lt;&gt;"",'Official Results'!I41&lt;&gt;"",C23='Official Results'!I41),1,0)+IF(AND(D23&lt;&gt;"",'Official Results'!I42&lt;&gt;"",D23='Official Results'!I42),1,0)+IF(AND(E23&lt;&gt;"",'Official Results'!I43&lt;&gt;"",E23='Official Results'!I43),1,0))</f>
        <v>0</v>
      </c>
      <c r="H23" s="72">
        <f t="shared" si="0"/>
        <v>0</v>
      </c>
      <c r="I23" s="72">
        <f t="shared" si="1"/>
        <v>0</v>
      </c>
    </row>
    <row r="24" spans="1:9" ht="15" customHeight="1">
      <c r="A24" s="75" t="str">
        <f>IF(Players!B24="","",Players!B24)</f>
        <v>Player 19</v>
      </c>
      <c r="B24" s="104"/>
      <c r="C24" s="104"/>
      <c r="D24" s="104"/>
      <c r="E24" s="104"/>
      <c r="F24" s="70">
        <f>(IF(AND(B24&lt;&gt;"",'Official Results'!I40&lt;&gt;"",B24='Official Results'!I40),1,0)+IF(AND(C24&lt;&gt;"",'Official Results'!I41&lt;&gt;"",C24='Official Results'!I41),1,0)+IF(AND(D24&lt;&gt;"",'Official Results'!I42&lt;&gt;"",D24='Official Results'!I42),1,0)+IF(AND(E24&lt;&gt;"",'Official Results'!I43&lt;&gt;"",E24='Official Results'!I43),1,0))*'Instructions &amp; Rules'!$K$12</f>
        <v>0</v>
      </c>
      <c r="G24" s="70">
        <f>(IF(AND(B24&lt;&gt;"",'Official Results'!I40&lt;&gt;"",B24='Official Results'!I40),1,0)+IF(AND(C24&lt;&gt;"",'Official Results'!I41&lt;&gt;"",C24='Official Results'!I41),1,0)+IF(AND(D24&lt;&gt;"",'Official Results'!I42&lt;&gt;"",D24='Official Results'!I42),1,0)+IF(AND(E24&lt;&gt;"",'Official Results'!I43&lt;&gt;"",E24='Official Results'!I43),1,0))</f>
        <v>0</v>
      </c>
      <c r="H24" s="72">
        <f t="shared" si="0"/>
        <v>0</v>
      </c>
      <c r="I24" s="72">
        <f t="shared" si="1"/>
        <v>0</v>
      </c>
    </row>
    <row r="25" spans="1:9" ht="15" customHeight="1">
      <c r="A25" s="75" t="str">
        <f>IF(Players!B25="","",Players!B25)</f>
        <v>Player 20</v>
      </c>
      <c r="B25" s="104"/>
      <c r="C25" s="104"/>
      <c r="D25" s="104"/>
      <c r="E25" s="104"/>
      <c r="F25" s="70">
        <f>(IF(AND(B25&lt;&gt;"",'Official Results'!I40&lt;&gt;"",B25='Official Results'!I40),1,0)+IF(AND(C25&lt;&gt;"",'Official Results'!I41&lt;&gt;"",C25='Official Results'!I41),1,0)+IF(AND(D25&lt;&gt;"",'Official Results'!I42&lt;&gt;"",D25='Official Results'!I42),1,0)+IF(AND(E25&lt;&gt;"",'Official Results'!I43&lt;&gt;"",E25='Official Results'!I43),1,0))*'Instructions &amp; Rules'!$K$12</f>
        <v>0</v>
      </c>
      <c r="G25" s="70">
        <f>(IF(AND(B25&lt;&gt;"",'Official Results'!I40&lt;&gt;"",B25='Official Results'!I40),1,0)+IF(AND(C25&lt;&gt;"",'Official Results'!I41&lt;&gt;"",C25='Official Results'!I41),1,0)+IF(AND(D25&lt;&gt;"",'Official Results'!I42&lt;&gt;"",D25='Official Results'!I42),1,0)+IF(AND(E25&lt;&gt;"",'Official Results'!I43&lt;&gt;"",E25='Official Results'!I43),1,0))</f>
        <v>0</v>
      </c>
      <c r="H25" s="72">
        <f t="shared" si="0"/>
        <v>0</v>
      </c>
      <c r="I25" s="72">
        <f t="shared" si="1"/>
        <v>0</v>
      </c>
    </row>
  </sheetData>
  <mergeCells count="2">
    <mergeCell ref="A1:H2"/>
    <mergeCell ref="A4:H4"/>
  </mergeCells>
  <dataValidations count="4">
    <dataValidation type="list" allowBlank="1" errorTitle="Invalid selection" error="Please choose a team from the dropdown list." promptTitle="Choose team" prompt="Select one of the teams allowed for this match." sqref="B6:B25" xr:uid="{00000000-0002-0000-0600-000000000000}">
      <formula1>KO_QF_1</formula1>
    </dataValidation>
    <dataValidation type="list" allowBlank="1" errorTitle="Invalid selection" error="Please choose a team from the dropdown list." promptTitle="Choose team" prompt="Select one of the teams allowed for this match." sqref="C6:C25" xr:uid="{00000000-0002-0000-0600-000001000000}">
      <formula1>KO_QF_2</formula1>
    </dataValidation>
    <dataValidation type="list" allowBlank="1" errorTitle="Invalid selection" error="Please choose a team from the dropdown list." promptTitle="Choose team" prompt="Select one of the teams allowed for this match." sqref="D6:D25" xr:uid="{00000000-0002-0000-0600-000002000000}">
      <formula1>KO_QF_3</formula1>
    </dataValidation>
    <dataValidation type="list" allowBlank="1" errorTitle="Invalid selection" error="Please choose a team from the dropdown list." promptTitle="Choose team" prompt="Select one of the teams allowed for this match." sqref="E6:E25" xr:uid="{00000000-0002-0000-0600-000003000000}">
      <formula1>KO_QF_4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showGridLines="0" zoomScaleNormal="100" workbookViewId="0">
      <selection sqref="A1:F2"/>
    </sheetView>
  </sheetViews>
  <sheetFormatPr defaultColWidth="8.7109375" defaultRowHeight="15" customHeight="1"/>
  <cols>
    <col min="1" max="1" width="25.42578125" customWidth="1"/>
    <col min="2" max="3" width="14" customWidth="1"/>
    <col min="4" max="4" width="12" customWidth="1"/>
    <col min="5" max="5" width="10" customWidth="1"/>
    <col min="6" max="6" width="12" customWidth="1"/>
  </cols>
  <sheetData>
    <row r="1" spans="1:7" ht="15" customHeight="1">
      <c r="A1" s="162" t="s">
        <v>283</v>
      </c>
      <c r="B1" s="232"/>
      <c r="C1" s="232"/>
      <c r="D1" s="232"/>
      <c r="E1" s="232"/>
      <c r="F1" s="233"/>
    </row>
    <row r="2" spans="1:7" ht="15" customHeight="1">
      <c r="A2" s="234"/>
      <c r="B2" s="235"/>
      <c r="C2" s="235"/>
      <c r="D2" s="235"/>
      <c r="E2" s="235"/>
      <c r="F2" s="236"/>
    </row>
    <row r="4" spans="1:7" ht="15" customHeight="1">
      <c r="A4" s="171" t="s">
        <v>284</v>
      </c>
      <c r="B4" s="243"/>
      <c r="C4" s="243"/>
      <c r="D4" s="243"/>
      <c r="E4" s="243"/>
      <c r="F4" s="243"/>
    </row>
    <row r="5" spans="1:7" ht="28.35" customHeight="1">
      <c r="A5" s="63" t="s">
        <v>267</v>
      </c>
      <c r="B5" s="55" t="s">
        <v>262</v>
      </c>
      <c r="C5" s="45" t="s">
        <v>263</v>
      </c>
      <c r="D5" s="64" t="s">
        <v>277</v>
      </c>
      <c r="E5" s="65" t="s">
        <v>278</v>
      </c>
      <c r="F5" s="66" t="s">
        <v>274</v>
      </c>
    </row>
    <row r="6" spans="1:7" ht="15" customHeight="1">
      <c r="A6" s="75" t="str">
        <f>IF(Players!B6="","",Players!B6)</f>
        <v>Febby Yudhi Pratama</v>
      </c>
      <c r="B6" s="104"/>
      <c r="C6" s="104"/>
      <c r="D6" s="70">
        <f>(IF(AND(B6&lt;&gt;"",'Official Results'!L40&lt;&gt;"",B6='Official Results'!L40),1,0)+IF(AND(C6&lt;&gt;"",'Official Results'!L41&lt;&gt;"",C6='Official Results'!L41),1,0))*'Instructions &amp; Rules'!$K$13</f>
        <v>0</v>
      </c>
      <c r="E6" s="70">
        <f>(IF(AND(B6&lt;&gt;"",'Official Results'!L40&lt;&gt;"",B6='Official Results'!L40),1,0)+IF(AND(C6&lt;&gt;"",'Official Results'!L41&lt;&gt;"",C6='Official Results'!L41),1,0))</f>
        <v>0</v>
      </c>
      <c r="F6" s="72">
        <f t="shared" ref="F6:F25" si="0">COUNTIF(B6:C6,"&lt;&gt;")/2</f>
        <v>0</v>
      </c>
      <c r="G6" s="72">
        <f t="shared" ref="G6:G25" si="1">COUNTIF(B6:C6,"&lt;&gt;")/2</f>
        <v>0</v>
      </c>
    </row>
    <row r="7" spans="1:7" ht="15" customHeight="1">
      <c r="A7" s="75" t="str">
        <f>IF(Players!B7="","",Players!B7)</f>
        <v>Fathan Mauludin</v>
      </c>
      <c r="B7" s="104"/>
      <c r="C7" s="104"/>
      <c r="D7" s="70">
        <f>(IF(AND(B7&lt;&gt;"",'Official Results'!L40&lt;&gt;"",B7='Official Results'!L40),1,0)+IF(AND(C7&lt;&gt;"",'Official Results'!L41&lt;&gt;"",C7='Official Results'!L41),1,0))*'Instructions &amp; Rules'!$K$13</f>
        <v>0</v>
      </c>
      <c r="E7" s="70">
        <f>(IF(AND(B7&lt;&gt;"",'Official Results'!L40&lt;&gt;"",B7='Official Results'!L40),1,0)+IF(AND(C7&lt;&gt;"",'Official Results'!L41&lt;&gt;"",C7='Official Results'!L41),1,0))</f>
        <v>0</v>
      </c>
      <c r="F7" s="72">
        <f t="shared" si="0"/>
        <v>0</v>
      </c>
      <c r="G7" s="72">
        <f t="shared" si="1"/>
        <v>0</v>
      </c>
    </row>
    <row r="8" spans="1:7" ht="15" customHeight="1">
      <c r="A8" s="75" t="str">
        <f>IF(Players!B8="","",Players!B8)</f>
        <v>M Fakhri Auladana</v>
      </c>
      <c r="B8" s="104"/>
      <c r="C8" s="104"/>
      <c r="D8" s="70">
        <f>(IF(AND(B8&lt;&gt;"",'Official Results'!L40&lt;&gt;"",B8='Official Results'!L40),1,0)+IF(AND(C8&lt;&gt;"",'Official Results'!L41&lt;&gt;"",C8='Official Results'!L41),1,0))*'Instructions &amp; Rules'!$K$13</f>
        <v>0</v>
      </c>
      <c r="E8" s="70">
        <f>(IF(AND(B8&lt;&gt;"",'Official Results'!L40&lt;&gt;"",B8='Official Results'!L40),1,0)+IF(AND(C8&lt;&gt;"",'Official Results'!L41&lt;&gt;"",C8='Official Results'!L41),1,0))</f>
        <v>0</v>
      </c>
      <c r="F8" s="72">
        <f t="shared" si="0"/>
        <v>0</v>
      </c>
      <c r="G8" s="72">
        <f t="shared" si="1"/>
        <v>0</v>
      </c>
    </row>
    <row r="9" spans="1:7" ht="15" customHeight="1">
      <c r="A9" s="75" t="str">
        <f>IF(Players!B9="","",Players!B9)</f>
        <v>Muhammad Naufal Aiman</v>
      </c>
      <c r="B9" s="104"/>
      <c r="C9" s="104"/>
      <c r="D9" s="70">
        <f>(IF(AND(B9&lt;&gt;"",'Official Results'!L40&lt;&gt;"",B9='Official Results'!L40),1,0)+IF(AND(C9&lt;&gt;"",'Official Results'!L41&lt;&gt;"",C9='Official Results'!L41),1,0))*'Instructions &amp; Rules'!$K$13</f>
        <v>0</v>
      </c>
      <c r="E9" s="70">
        <f>(IF(AND(B9&lt;&gt;"",'Official Results'!L40&lt;&gt;"",B9='Official Results'!L40),1,0)+IF(AND(C9&lt;&gt;"",'Official Results'!L41&lt;&gt;"",C9='Official Results'!L41),1,0))</f>
        <v>0</v>
      </c>
      <c r="F9" s="72">
        <f t="shared" si="0"/>
        <v>0</v>
      </c>
      <c r="G9" s="72">
        <f t="shared" si="1"/>
        <v>0</v>
      </c>
    </row>
    <row r="10" spans="1:7" ht="15" customHeight="1">
      <c r="A10" s="75" t="str">
        <f>IF(Players!B10="","",Players!B10)</f>
        <v>Ahade</v>
      </c>
      <c r="B10" s="104"/>
      <c r="C10" s="104"/>
      <c r="D10" s="70">
        <f>(IF(AND(B10&lt;&gt;"",'Official Results'!L40&lt;&gt;"",B10='Official Results'!L40),1,0)+IF(AND(C10&lt;&gt;"",'Official Results'!L41&lt;&gt;"",C10='Official Results'!L41),1,0))*'Instructions &amp; Rules'!$K$13</f>
        <v>0</v>
      </c>
      <c r="E10" s="70">
        <f>(IF(AND(B10&lt;&gt;"",'Official Results'!L40&lt;&gt;"",B10='Official Results'!L40),1,0)+IF(AND(C10&lt;&gt;"",'Official Results'!L41&lt;&gt;"",C10='Official Results'!L41),1,0))</f>
        <v>0</v>
      </c>
      <c r="F10" s="72">
        <f t="shared" si="0"/>
        <v>0</v>
      </c>
      <c r="G10" s="72">
        <f t="shared" si="1"/>
        <v>0</v>
      </c>
    </row>
    <row r="11" spans="1:7" ht="15" customHeight="1">
      <c r="A11" s="75" t="str">
        <f>IF(Players!B11="","",Players!B11)</f>
        <v>Aldy</v>
      </c>
      <c r="B11" s="104"/>
      <c r="C11" s="104"/>
      <c r="D11" s="70">
        <f>(IF(AND(B11&lt;&gt;"",'Official Results'!L40&lt;&gt;"",B11='Official Results'!L40),1,0)+IF(AND(C11&lt;&gt;"",'Official Results'!L41&lt;&gt;"",C11='Official Results'!L41),1,0))*'Instructions &amp; Rules'!$K$13</f>
        <v>0</v>
      </c>
      <c r="E11" s="70">
        <f>(IF(AND(B11&lt;&gt;"",'Official Results'!L40&lt;&gt;"",B11='Official Results'!L40),1,0)+IF(AND(C11&lt;&gt;"",'Official Results'!L41&lt;&gt;"",C11='Official Results'!L41),1,0))</f>
        <v>0</v>
      </c>
      <c r="F11" s="72">
        <f t="shared" si="0"/>
        <v>0</v>
      </c>
      <c r="G11" s="72">
        <f t="shared" si="1"/>
        <v>0</v>
      </c>
    </row>
    <row r="12" spans="1:7" ht="15" customHeight="1">
      <c r="A12" s="75" t="str">
        <f>IF(Players!B12="","",Players!B12)</f>
        <v>Affaninho</v>
      </c>
      <c r="B12" s="104"/>
      <c r="C12" s="104"/>
      <c r="D12" s="70">
        <f>(IF(AND(B12&lt;&gt;"",'Official Results'!L40&lt;&gt;"",B12='Official Results'!L40),1,0)+IF(AND(C12&lt;&gt;"",'Official Results'!L41&lt;&gt;"",C12='Official Results'!L41),1,0))*'Instructions &amp; Rules'!$K$13</f>
        <v>0</v>
      </c>
      <c r="E12" s="70">
        <f>(IF(AND(B12&lt;&gt;"",'Official Results'!L40&lt;&gt;"",B12='Official Results'!L40),1,0)+IF(AND(C12&lt;&gt;"",'Official Results'!L41&lt;&gt;"",C12='Official Results'!L41),1,0))</f>
        <v>0</v>
      </c>
      <c r="F12" s="72">
        <f t="shared" si="0"/>
        <v>0</v>
      </c>
      <c r="G12" s="72">
        <f t="shared" si="1"/>
        <v>0</v>
      </c>
    </row>
    <row r="13" spans="1:7" ht="15" customHeight="1">
      <c r="A13" s="75" t="str">
        <f>IF(Players!B13="","",Players!B13)</f>
        <v>Aji</v>
      </c>
      <c r="B13" s="104"/>
      <c r="C13" s="104"/>
      <c r="D13" s="70">
        <f>(IF(AND(B13&lt;&gt;"",'Official Results'!L40&lt;&gt;"",B13='Official Results'!L40),1,0)+IF(AND(C13&lt;&gt;"",'Official Results'!L41&lt;&gt;"",C13='Official Results'!L41),1,0))*'Instructions &amp; Rules'!$K$13</f>
        <v>0</v>
      </c>
      <c r="E13" s="70">
        <f>(IF(AND(B13&lt;&gt;"",'Official Results'!L40&lt;&gt;"",B13='Official Results'!L40),1,0)+IF(AND(C13&lt;&gt;"",'Official Results'!L41&lt;&gt;"",C13='Official Results'!L41),1,0))</f>
        <v>0</v>
      </c>
      <c r="F13" s="72">
        <f t="shared" si="0"/>
        <v>0</v>
      </c>
      <c r="G13" s="72">
        <f t="shared" si="1"/>
        <v>0</v>
      </c>
    </row>
    <row r="14" spans="1:7" ht="15" customHeight="1">
      <c r="A14" s="75" t="str">
        <f>IF(Players!B14="","",Players!B14)</f>
        <v>Dausman</v>
      </c>
      <c r="B14" s="104"/>
      <c r="C14" s="104"/>
      <c r="D14" s="70">
        <f>(IF(AND(B14&lt;&gt;"",'Official Results'!L40&lt;&gt;"",B14='Official Results'!L40),1,0)+IF(AND(C14&lt;&gt;"",'Official Results'!L41&lt;&gt;"",C14='Official Results'!L41),1,0))*'Instructions &amp; Rules'!$K$13</f>
        <v>0</v>
      </c>
      <c r="E14" s="70">
        <f>(IF(AND(B14&lt;&gt;"",'Official Results'!L40&lt;&gt;"",B14='Official Results'!L40),1,0)+IF(AND(C14&lt;&gt;"",'Official Results'!L41&lt;&gt;"",C14='Official Results'!L41),1,0))</f>
        <v>0</v>
      </c>
      <c r="F14" s="72">
        <f t="shared" si="0"/>
        <v>0</v>
      </c>
      <c r="G14" s="72">
        <f t="shared" si="1"/>
        <v>0</v>
      </c>
    </row>
    <row r="15" spans="1:7" ht="15" customHeight="1">
      <c r="A15" s="75" t="str">
        <f>IF(Players!B15="","",Players!B15)</f>
        <v>Wawa</v>
      </c>
      <c r="B15" s="104"/>
      <c r="C15" s="104"/>
      <c r="D15" s="70">
        <f>(IF(AND(B15&lt;&gt;"",'Official Results'!L40&lt;&gt;"",B15='Official Results'!L40),1,0)+IF(AND(C15&lt;&gt;"",'Official Results'!L41&lt;&gt;"",C15='Official Results'!L41),1,0))*'Instructions &amp; Rules'!$K$13</f>
        <v>0</v>
      </c>
      <c r="E15" s="70">
        <f>(IF(AND(B15&lt;&gt;"",'Official Results'!L40&lt;&gt;"",B15='Official Results'!L40),1,0)+IF(AND(C15&lt;&gt;"",'Official Results'!L41&lt;&gt;"",C15='Official Results'!L41),1,0))</f>
        <v>0</v>
      </c>
      <c r="F15" s="72">
        <f t="shared" si="0"/>
        <v>0</v>
      </c>
      <c r="G15" s="72">
        <f t="shared" si="1"/>
        <v>0</v>
      </c>
    </row>
    <row r="16" spans="1:7" ht="15" customHeight="1">
      <c r="A16" s="75" t="str">
        <f>IF(Players!B16="","",Players!B16)</f>
        <v>Player 11</v>
      </c>
      <c r="B16" s="104"/>
      <c r="C16" s="104"/>
      <c r="D16" s="70">
        <f>(IF(AND(B16&lt;&gt;"",'Official Results'!L40&lt;&gt;"",B16='Official Results'!L40),1,0)+IF(AND(C16&lt;&gt;"",'Official Results'!L41&lt;&gt;"",C16='Official Results'!L41),1,0))*'Instructions &amp; Rules'!$K$13</f>
        <v>0</v>
      </c>
      <c r="E16" s="70">
        <f>(IF(AND(B16&lt;&gt;"",'Official Results'!L40&lt;&gt;"",B16='Official Results'!L40),1,0)+IF(AND(C16&lt;&gt;"",'Official Results'!L41&lt;&gt;"",C16='Official Results'!L41),1,0))</f>
        <v>0</v>
      </c>
      <c r="F16" s="72">
        <f t="shared" si="0"/>
        <v>0</v>
      </c>
      <c r="G16" s="72">
        <f t="shared" si="1"/>
        <v>0</v>
      </c>
    </row>
    <row r="17" spans="1:7" ht="15" customHeight="1">
      <c r="A17" s="75" t="str">
        <f>IF(Players!B17="","",Players!B17)</f>
        <v>Player 12</v>
      </c>
      <c r="B17" s="104"/>
      <c r="C17" s="104"/>
      <c r="D17" s="70">
        <f>(IF(AND(B17&lt;&gt;"",'Official Results'!L40&lt;&gt;"",B17='Official Results'!L40),1,0)+IF(AND(C17&lt;&gt;"",'Official Results'!L41&lt;&gt;"",C17='Official Results'!L41),1,0))*'Instructions &amp; Rules'!$K$13</f>
        <v>0</v>
      </c>
      <c r="E17" s="70">
        <f>(IF(AND(B17&lt;&gt;"",'Official Results'!L40&lt;&gt;"",B17='Official Results'!L40),1,0)+IF(AND(C17&lt;&gt;"",'Official Results'!L41&lt;&gt;"",C17='Official Results'!L41),1,0))</f>
        <v>0</v>
      </c>
      <c r="F17" s="72">
        <f t="shared" si="0"/>
        <v>0</v>
      </c>
      <c r="G17" s="72">
        <f t="shared" si="1"/>
        <v>0</v>
      </c>
    </row>
    <row r="18" spans="1:7" ht="15" customHeight="1">
      <c r="A18" s="75" t="str">
        <f>IF(Players!B18="","",Players!B18)</f>
        <v>Player 13</v>
      </c>
      <c r="B18" s="104"/>
      <c r="C18" s="104"/>
      <c r="D18" s="70">
        <f>(IF(AND(B18&lt;&gt;"",'Official Results'!L40&lt;&gt;"",B18='Official Results'!L40),1,0)+IF(AND(C18&lt;&gt;"",'Official Results'!L41&lt;&gt;"",C18='Official Results'!L41),1,0))*'Instructions &amp; Rules'!$K$13</f>
        <v>0</v>
      </c>
      <c r="E18" s="70">
        <f>(IF(AND(B18&lt;&gt;"",'Official Results'!L40&lt;&gt;"",B18='Official Results'!L40),1,0)+IF(AND(C18&lt;&gt;"",'Official Results'!L41&lt;&gt;"",C18='Official Results'!L41),1,0))</f>
        <v>0</v>
      </c>
      <c r="F18" s="72">
        <f t="shared" si="0"/>
        <v>0</v>
      </c>
      <c r="G18" s="72">
        <f t="shared" si="1"/>
        <v>0</v>
      </c>
    </row>
    <row r="19" spans="1:7" ht="15" customHeight="1">
      <c r="A19" s="75" t="str">
        <f>IF(Players!B19="","",Players!B19)</f>
        <v>Player 14</v>
      </c>
      <c r="B19" s="104"/>
      <c r="C19" s="104"/>
      <c r="D19" s="70">
        <f>(IF(AND(B19&lt;&gt;"",'Official Results'!L40&lt;&gt;"",B19='Official Results'!L40),1,0)+IF(AND(C19&lt;&gt;"",'Official Results'!L41&lt;&gt;"",C19='Official Results'!L41),1,0))*'Instructions &amp; Rules'!$K$13</f>
        <v>0</v>
      </c>
      <c r="E19" s="70">
        <f>(IF(AND(B19&lt;&gt;"",'Official Results'!L40&lt;&gt;"",B19='Official Results'!L40),1,0)+IF(AND(C19&lt;&gt;"",'Official Results'!L41&lt;&gt;"",C19='Official Results'!L41),1,0))</f>
        <v>0</v>
      </c>
      <c r="F19" s="72">
        <f t="shared" si="0"/>
        <v>0</v>
      </c>
      <c r="G19" s="72">
        <f t="shared" si="1"/>
        <v>0</v>
      </c>
    </row>
    <row r="20" spans="1:7" ht="15" customHeight="1">
      <c r="A20" s="75" t="str">
        <f>IF(Players!B20="","",Players!B20)</f>
        <v>Player 15</v>
      </c>
      <c r="B20" s="104"/>
      <c r="C20" s="104"/>
      <c r="D20" s="70">
        <f>(IF(AND(B20&lt;&gt;"",'Official Results'!L40&lt;&gt;"",B20='Official Results'!L40),1,0)+IF(AND(C20&lt;&gt;"",'Official Results'!L41&lt;&gt;"",C20='Official Results'!L41),1,0))*'Instructions &amp; Rules'!$K$13</f>
        <v>0</v>
      </c>
      <c r="E20" s="70">
        <f>(IF(AND(B20&lt;&gt;"",'Official Results'!L40&lt;&gt;"",B20='Official Results'!L40),1,0)+IF(AND(C20&lt;&gt;"",'Official Results'!L41&lt;&gt;"",C20='Official Results'!L41),1,0))</f>
        <v>0</v>
      </c>
      <c r="F20" s="72">
        <f t="shared" si="0"/>
        <v>0</v>
      </c>
      <c r="G20" s="72">
        <f t="shared" si="1"/>
        <v>0</v>
      </c>
    </row>
    <row r="21" spans="1:7" ht="15" customHeight="1">
      <c r="A21" s="75" t="str">
        <f>IF(Players!B21="","",Players!B21)</f>
        <v>Player 16</v>
      </c>
      <c r="B21" s="104"/>
      <c r="C21" s="104"/>
      <c r="D21" s="70">
        <f>(IF(AND(B21&lt;&gt;"",'Official Results'!L40&lt;&gt;"",B21='Official Results'!L40),1,0)+IF(AND(C21&lt;&gt;"",'Official Results'!L41&lt;&gt;"",C21='Official Results'!L41),1,0))*'Instructions &amp; Rules'!$K$13</f>
        <v>0</v>
      </c>
      <c r="E21" s="70">
        <f>(IF(AND(B21&lt;&gt;"",'Official Results'!L40&lt;&gt;"",B21='Official Results'!L40),1,0)+IF(AND(C21&lt;&gt;"",'Official Results'!L41&lt;&gt;"",C21='Official Results'!L41),1,0))</f>
        <v>0</v>
      </c>
      <c r="F21" s="72">
        <f t="shared" si="0"/>
        <v>0</v>
      </c>
      <c r="G21" s="72">
        <f t="shared" si="1"/>
        <v>0</v>
      </c>
    </row>
    <row r="22" spans="1:7" ht="15" customHeight="1">
      <c r="A22" s="75" t="str">
        <f>IF(Players!B22="","",Players!B22)</f>
        <v>Player 17</v>
      </c>
      <c r="B22" s="104"/>
      <c r="C22" s="104"/>
      <c r="D22" s="70">
        <f>(IF(AND(B22&lt;&gt;"",'Official Results'!L40&lt;&gt;"",B22='Official Results'!L40),1,0)+IF(AND(C22&lt;&gt;"",'Official Results'!L41&lt;&gt;"",C22='Official Results'!L41),1,0))*'Instructions &amp; Rules'!$K$13</f>
        <v>0</v>
      </c>
      <c r="E22" s="70">
        <f>(IF(AND(B22&lt;&gt;"",'Official Results'!L40&lt;&gt;"",B22='Official Results'!L40),1,0)+IF(AND(C22&lt;&gt;"",'Official Results'!L41&lt;&gt;"",C22='Official Results'!L41),1,0))</f>
        <v>0</v>
      </c>
      <c r="F22" s="72">
        <f t="shared" si="0"/>
        <v>0</v>
      </c>
      <c r="G22" s="72">
        <f t="shared" si="1"/>
        <v>0</v>
      </c>
    </row>
    <row r="23" spans="1:7" ht="15" customHeight="1">
      <c r="A23" s="75" t="str">
        <f>IF(Players!B23="","",Players!B23)</f>
        <v>Player 18</v>
      </c>
      <c r="B23" s="104"/>
      <c r="C23" s="104"/>
      <c r="D23" s="70">
        <f>(IF(AND(B23&lt;&gt;"",'Official Results'!L40&lt;&gt;"",B23='Official Results'!L40),1,0)+IF(AND(C23&lt;&gt;"",'Official Results'!L41&lt;&gt;"",C23='Official Results'!L41),1,0))*'Instructions &amp; Rules'!$K$13</f>
        <v>0</v>
      </c>
      <c r="E23" s="70">
        <f>(IF(AND(B23&lt;&gt;"",'Official Results'!L40&lt;&gt;"",B23='Official Results'!L40),1,0)+IF(AND(C23&lt;&gt;"",'Official Results'!L41&lt;&gt;"",C23='Official Results'!L41),1,0))</f>
        <v>0</v>
      </c>
      <c r="F23" s="72">
        <f t="shared" si="0"/>
        <v>0</v>
      </c>
      <c r="G23" s="72">
        <f t="shared" si="1"/>
        <v>0</v>
      </c>
    </row>
    <row r="24" spans="1:7" ht="15" customHeight="1">
      <c r="A24" s="75" t="str">
        <f>IF(Players!B24="","",Players!B24)</f>
        <v>Player 19</v>
      </c>
      <c r="B24" s="104"/>
      <c r="C24" s="104"/>
      <c r="D24" s="70">
        <f>(IF(AND(B24&lt;&gt;"",'Official Results'!L40&lt;&gt;"",B24='Official Results'!L40),1,0)+IF(AND(C24&lt;&gt;"",'Official Results'!L41&lt;&gt;"",C24='Official Results'!L41),1,0))*'Instructions &amp; Rules'!$K$13</f>
        <v>0</v>
      </c>
      <c r="E24" s="70">
        <f>(IF(AND(B24&lt;&gt;"",'Official Results'!L40&lt;&gt;"",B24='Official Results'!L40),1,0)+IF(AND(C24&lt;&gt;"",'Official Results'!L41&lt;&gt;"",C24='Official Results'!L41),1,0))</f>
        <v>0</v>
      </c>
      <c r="F24" s="72">
        <f t="shared" si="0"/>
        <v>0</v>
      </c>
      <c r="G24" s="72">
        <f t="shared" si="1"/>
        <v>0</v>
      </c>
    </row>
    <row r="25" spans="1:7" ht="15" customHeight="1">
      <c r="A25" s="75" t="str">
        <f>IF(Players!B25="","",Players!B25)</f>
        <v>Player 20</v>
      </c>
      <c r="B25" s="104"/>
      <c r="C25" s="104"/>
      <c r="D25" s="70">
        <f>(IF(AND(B25&lt;&gt;"",'Official Results'!L40&lt;&gt;"",B25='Official Results'!L40),1,0)+IF(AND(C25&lt;&gt;"",'Official Results'!L41&lt;&gt;"",C25='Official Results'!L41),1,0))*'Instructions &amp; Rules'!$K$13</f>
        <v>0</v>
      </c>
      <c r="E25" s="70">
        <f>(IF(AND(B25&lt;&gt;"",'Official Results'!L40&lt;&gt;"",B25='Official Results'!L40),1,0)+IF(AND(C25&lt;&gt;"",'Official Results'!L41&lt;&gt;"",C25='Official Results'!L41),1,0))</f>
        <v>0</v>
      </c>
      <c r="F25" s="72">
        <f t="shared" si="0"/>
        <v>0</v>
      </c>
      <c r="G25" s="72">
        <f t="shared" si="1"/>
        <v>0</v>
      </c>
    </row>
  </sheetData>
  <mergeCells count="2">
    <mergeCell ref="A1:F2"/>
    <mergeCell ref="A4:F4"/>
  </mergeCells>
  <dataValidations count="2">
    <dataValidation type="list" allowBlank="1" errorTitle="Invalid selection" error="Please choose a team from the dropdown list." promptTitle="Choose team" prompt="Select one of the teams allowed for this match." sqref="B6:B25" xr:uid="{00000000-0002-0000-0700-000000000000}">
      <formula1>KO_SF_1</formula1>
    </dataValidation>
    <dataValidation type="list" allowBlank="1" errorTitle="Invalid selection" error="Please choose a team from the dropdown list." promptTitle="Choose team" prompt="Select one of the teams allowed for this match." sqref="C6:C25" xr:uid="{00000000-0002-0000-0700-000001000000}">
      <formula1>KO_SF_2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showGridLines="0" topLeftCell="A2" zoomScaleNormal="100" workbookViewId="0">
      <selection activeCell="L6" sqref="L6"/>
    </sheetView>
  </sheetViews>
  <sheetFormatPr defaultColWidth="8.7109375" defaultRowHeight="15" customHeight="1"/>
  <cols>
    <col min="1" max="1" width="24.7109375" customWidth="1"/>
    <col min="2" max="4" width="16" customWidth="1"/>
    <col min="5" max="5" width="12" customWidth="1"/>
    <col min="6" max="6" width="10" customWidth="1"/>
    <col min="7" max="7" width="12" customWidth="1"/>
  </cols>
  <sheetData>
    <row r="1" spans="1:7" ht="15" customHeight="1">
      <c r="A1" s="162" t="s">
        <v>285</v>
      </c>
      <c r="B1" s="232"/>
      <c r="C1" s="232"/>
      <c r="D1" s="232"/>
      <c r="E1" s="232"/>
      <c r="F1" s="232"/>
      <c r="G1" s="233"/>
    </row>
    <row r="2" spans="1:7" ht="15" customHeight="1">
      <c r="A2" s="234"/>
      <c r="B2" s="235"/>
      <c r="C2" s="235"/>
      <c r="D2" s="235"/>
      <c r="E2" s="235"/>
      <c r="F2" s="235"/>
      <c r="G2" s="236"/>
    </row>
    <row r="4" spans="1:7" ht="15" customHeight="1">
      <c r="A4" s="171" t="s">
        <v>286</v>
      </c>
      <c r="B4" s="243"/>
      <c r="C4" s="243"/>
      <c r="D4" s="243"/>
      <c r="E4" s="243"/>
      <c r="F4" s="243"/>
      <c r="G4" s="243"/>
    </row>
    <row r="5" spans="1:7" ht="28.35" customHeight="1">
      <c r="A5" s="13" t="s">
        <v>267</v>
      </c>
      <c r="B5" s="14" t="s">
        <v>117</v>
      </c>
      <c r="C5" s="14" t="s">
        <v>122</v>
      </c>
      <c r="D5" s="14" t="s">
        <v>264</v>
      </c>
      <c r="E5" s="14" t="s">
        <v>287</v>
      </c>
      <c r="F5" s="14" t="s">
        <v>278</v>
      </c>
      <c r="G5" s="15" t="s">
        <v>274</v>
      </c>
    </row>
    <row r="6" spans="1:7" ht="15" customHeight="1">
      <c r="A6" s="75" t="str">
        <f>IF(Players!B6="","",Players!B6)</f>
        <v>Febby Yudhi Pratama</v>
      </c>
      <c r="B6" s="104"/>
      <c r="C6" s="104"/>
      <c r="D6" s="104"/>
      <c r="E6" s="70">
        <f>IF(AND(B6&lt;&gt;"",'Official Results'!R40&lt;&gt;"",B6='Official Results'!R40),'Instructions &amp; Rules'!$K$14+'Instructions &amp; Rules'!$K$15,0)+IF(AND(C6&lt;&gt;"",'Official Results'!R41&lt;&gt;"",C6='Official Results'!R41),'Instructions &amp; Rules'!$K$14,0)+IF(AND(D6&lt;&gt;"",'Official Results'!O40&lt;&gt;"",D6='Official Results'!O40),'Instructions &amp; Rules'!$K$16,0)</f>
        <v>0</v>
      </c>
      <c r="F6" s="71">
        <f>IF(AND(B6&lt;&gt;"",'Official Results'!R40&lt;&gt;"",B6='Official Results'!R40),1,0)+IF(AND(C6&lt;&gt;"",'Official Results'!R41&lt;&gt;"",C6='Official Results'!R41),1,0)+IF(AND(D6&lt;&gt;"",'Official Results'!O40&lt;&gt;"",D6='Official Results'!O40),1,0)</f>
        <v>0</v>
      </c>
      <c r="G6" s="72">
        <f t="shared" ref="G6:G25" si="0">COUNTIF(B6:D6,"&lt;&gt;")/3</f>
        <v>0</v>
      </c>
    </row>
    <row r="7" spans="1:7" ht="15" customHeight="1">
      <c r="A7" s="75" t="str">
        <f>IF(Players!B7="","",Players!B7)</f>
        <v>Fathan Mauludin</v>
      </c>
      <c r="B7" s="104"/>
      <c r="C7" s="104"/>
      <c r="D7" s="104"/>
      <c r="E7" s="70">
        <f>IF(AND(B7&lt;&gt;"",'Official Results'!R40&lt;&gt;"",B7='Official Results'!R40),'Instructions &amp; Rules'!$K$14+'Instructions &amp; Rules'!$K$15,0)+IF(AND(C7&lt;&gt;"",'Official Results'!R41&lt;&gt;"",C7='Official Results'!R41),'Instructions &amp; Rules'!$K$14,0)+IF(AND(D7&lt;&gt;"",'Official Results'!O40&lt;&gt;"",D7='Official Results'!O40),'Instructions &amp; Rules'!$K$16,0)</f>
        <v>0</v>
      </c>
      <c r="F7" s="71">
        <f>IF(AND(B7&lt;&gt;"",'Official Results'!R40&lt;&gt;"",B7='Official Results'!R40),1,0)+IF(AND(C7&lt;&gt;"",'Official Results'!R41&lt;&gt;"",C7='Official Results'!R41),1,0)+IF(AND(D7&lt;&gt;"",'Official Results'!O40&lt;&gt;"",D7='Official Results'!O40),1,0)</f>
        <v>0</v>
      </c>
      <c r="G7" s="72">
        <f t="shared" si="0"/>
        <v>0</v>
      </c>
    </row>
    <row r="8" spans="1:7" ht="15" customHeight="1">
      <c r="A8" s="75" t="str">
        <f>IF(Players!B8="","",Players!B8)</f>
        <v>M Fakhri Auladana</v>
      </c>
      <c r="B8" s="104"/>
      <c r="C8" s="104"/>
      <c r="D8" s="104"/>
      <c r="E8" s="70">
        <f>IF(AND(B8&lt;&gt;"",'Official Results'!R40&lt;&gt;"",B8='Official Results'!R40),'Instructions &amp; Rules'!$K$14+'Instructions &amp; Rules'!$K$15,0)+IF(AND(C8&lt;&gt;"",'Official Results'!R41&lt;&gt;"",C8='Official Results'!R41),'Instructions &amp; Rules'!$K$14,0)+IF(AND(D8&lt;&gt;"",'Official Results'!O40&lt;&gt;"",D8='Official Results'!O40),'Instructions &amp; Rules'!$K$16,0)</f>
        <v>0</v>
      </c>
      <c r="F8" s="71">
        <f>IF(AND(B8&lt;&gt;"",'Official Results'!R40&lt;&gt;"",B8='Official Results'!R40),1,0)+IF(AND(C8&lt;&gt;"",'Official Results'!R41&lt;&gt;"",C8='Official Results'!R41),1,0)+IF(AND(D8&lt;&gt;"",'Official Results'!O40&lt;&gt;"",D8='Official Results'!O40),1,0)</f>
        <v>0</v>
      </c>
      <c r="G8" s="72">
        <f t="shared" si="0"/>
        <v>0</v>
      </c>
    </row>
    <row r="9" spans="1:7" ht="15" customHeight="1">
      <c r="A9" s="75" t="str">
        <f>IF(Players!B9="","",Players!B9)</f>
        <v>Muhammad Naufal Aiman</v>
      </c>
      <c r="B9" s="104"/>
      <c r="C9" s="104"/>
      <c r="D9" s="104"/>
      <c r="E9" s="70">
        <f>IF(AND(B9&lt;&gt;"",'Official Results'!R40&lt;&gt;"",B9='Official Results'!R40),'Instructions &amp; Rules'!$K$14+'Instructions &amp; Rules'!$K$15,0)+IF(AND(C9&lt;&gt;"",'Official Results'!R41&lt;&gt;"",C9='Official Results'!R41),'Instructions &amp; Rules'!$K$14,0)+IF(AND(D9&lt;&gt;"",'Official Results'!O40&lt;&gt;"",D9='Official Results'!O40),'Instructions &amp; Rules'!$K$16,0)</f>
        <v>0</v>
      </c>
      <c r="F9" s="71">
        <f>IF(AND(B9&lt;&gt;"",'Official Results'!R40&lt;&gt;"",B9='Official Results'!R40),1,0)+IF(AND(C9&lt;&gt;"",'Official Results'!R41&lt;&gt;"",C9='Official Results'!R41),1,0)+IF(AND(D9&lt;&gt;"",'Official Results'!O40&lt;&gt;"",D9='Official Results'!O40),1,0)</f>
        <v>0</v>
      </c>
      <c r="G9" s="72">
        <f t="shared" si="0"/>
        <v>0</v>
      </c>
    </row>
    <row r="10" spans="1:7" ht="15" customHeight="1">
      <c r="A10" s="75" t="str">
        <f>IF(Players!B10="","",Players!B10)</f>
        <v>Ahade</v>
      </c>
      <c r="B10" s="104"/>
      <c r="C10" s="104"/>
      <c r="D10" s="104"/>
      <c r="E10" s="70">
        <f>IF(AND(B10&lt;&gt;"",'Official Results'!R40&lt;&gt;"",B10='Official Results'!R40),'Instructions &amp; Rules'!$K$14+'Instructions &amp; Rules'!$K$15,0)+IF(AND(C10&lt;&gt;"",'Official Results'!R41&lt;&gt;"",C10='Official Results'!R41),'Instructions &amp; Rules'!$K$14,0)+IF(AND(D10&lt;&gt;"",'Official Results'!O40&lt;&gt;"",D10='Official Results'!O40),'Instructions &amp; Rules'!$K$16,0)</f>
        <v>0</v>
      </c>
      <c r="F10" s="71">
        <f>IF(AND(B10&lt;&gt;"",'Official Results'!R40&lt;&gt;"",B10='Official Results'!R40),1,0)+IF(AND(C10&lt;&gt;"",'Official Results'!R41&lt;&gt;"",C10='Official Results'!R41),1,0)+IF(AND(D10&lt;&gt;"",'Official Results'!O40&lt;&gt;"",D10='Official Results'!O40),1,0)</f>
        <v>0</v>
      </c>
      <c r="G10" s="72">
        <f t="shared" si="0"/>
        <v>0</v>
      </c>
    </row>
    <row r="11" spans="1:7" ht="15" customHeight="1">
      <c r="A11" s="75" t="str">
        <f>IF(Players!B11="","",Players!B11)</f>
        <v>Aldy</v>
      </c>
      <c r="B11" s="104"/>
      <c r="C11" s="104"/>
      <c r="D11" s="104"/>
      <c r="E11" s="70">
        <f>IF(AND(B11&lt;&gt;"",'Official Results'!R40&lt;&gt;"",B11='Official Results'!R40),'Instructions &amp; Rules'!$K$14+'Instructions &amp; Rules'!$K$15,0)+IF(AND(C11&lt;&gt;"",'Official Results'!R41&lt;&gt;"",C11='Official Results'!R41),'Instructions &amp; Rules'!$K$14,0)+IF(AND(D11&lt;&gt;"",'Official Results'!O40&lt;&gt;"",D11='Official Results'!O40),'Instructions &amp; Rules'!$K$16,0)</f>
        <v>0</v>
      </c>
      <c r="F11" s="71">
        <f>IF(AND(B11&lt;&gt;"",'Official Results'!R40&lt;&gt;"",B11='Official Results'!R40),1,0)+IF(AND(C11&lt;&gt;"",'Official Results'!R41&lt;&gt;"",C11='Official Results'!R41),1,0)+IF(AND(D11&lt;&gt;"",'Official Results'!O40&lt;&gt;"",D11='Official Results'!O40),1,0)</f>
        <v>0</v>
      </c>
      <c r="G11" s="72">
        <f t="shared" si="0"/>
        <v>0</v>
      </c>
    </row>
    <row r="12" spans="1:7" ht="15" customHeight="1">
      <c r="A12" s="75" t="str">
        <f>IF(Players!B12="","",Players!B12)</f>
        <v>Affaninho</v>
      </c>
      <c r="B12" s="104"/>
      <c r="C12" s="104"/>
      <c r="D12" s="104"/>
      <c r="E12" s="70">
        <f>IF(AND(B12&lt;&gt;"",'Official Results'!R40&lt;&gt;"",B12='Official Results'!R40),'Instructions &amp; Rules'!$K$14+'Instructions &amp; Rules'!$K$15,0)+IF(AND(C12&lt;&gt;"",'Official Results'!R41&lt;&gt;"",C12='Official Results'!R41),'Instructions &amp; Rules'!$K$14,0)+IF(AND(D12&lt;&gt;"",'Official Results'!O40&lt;&gt;"",D12='Official Results'!O40),'Instructions &amp; Rules'!$K$16,0)</f>
        <v>0</v>
      </c>
      <c r="F12" s="71">
        <f>IF(AND(B12&lt;&gt;"",'Official Results'!R40&lt;&gt;"",B12='Official Results'!R40),1,0)+IF(AND(C12&lt;&gt;"",'Official Results'!R41&lt;&gt;"",C12='Official Results'!R41),1,0)+IF(AND(D12&lt;&gt;"",'Official Results'!O40&lt;&gt;"",D12='Official Results'!O40),1,0)</f>
        <v>0</v>
      </c>
      <c r="G12" s="72">
        <f t="shared" si="0"/>
        <v>0</v>
      </c>
    </row>
    <row r="13" spans="1:7" ht="15" customHeight="1">
      <c r="A13" s="75" t="str">
        <f>IF(Players!B13="","",Players!B13)</f>
        <v>Aji</v>
      </c>
      <c r="B13" s="104"/>
      <c r="C13" s="104"/>
      <c r="D13" s="104"/>
      <c r="E13" s="70">
        <f>IF(AND(B13&lt;&gt;"",'Official Results'!R40&lt;&gt;"",B13='Official Results'!R40),'Instructions &amp; Rules'!$K$14+'Instructions &amp; Rules'!$K$15,0)+IF(AND(C13&lt;&gt;"",'Official Results'!R41&lt;&gt;"",C13='Official Results'!R41),'Instructions &amp; Rules'!$K$14,0)+IF(AND(D13&lt;&gt;"",'Official Results'!O40&lt;&gt;"",D13='Official Results'!O40),'Instructions &amp; Rules'!$K$16,0)</f>
        <v>0</v>
      </c>
      <c r="F13" s="71">
        <f>IF(AND(B13&lt;&gt;"",'Official Results'!R40&lt;&gt;"",B13='Official Results'!R40),1,0)+IF(AND(C13&lt;&gt;"",'Official Results'!R41&lt;&gt;"",C13='Official Results'!R41),1,0)+IF(AND(D13&lt;&gt;"",'Official Results'!O40&lt;&gt;"",D13='Official Results'!O40),1,0)</f>
        <v>0</v>
      </c>
      <c r="G13" s="72">
        <f t="shared" si="0"/>
        <v>0</v>
      </c>
    </row>
    <row r="14" spans="1:7" ht="15" customHeight="1">
      <c r="A14" s="75" t="str">
        <f>IF(Players!B14="","",Players!B14)</f>
        <v>Dausman</v>
      </c>
      <c r="B14" s="104"/>
      <c r="C14" s="104"/>
      <c r="D14" s="104"/>
      <c r="E14" s="70">
        <f>IF(AND(B14&lt;&gt;"",'Official Results'!R40&lt;&gt;"",B14='Official Results'!R40),'Instructions &amp; Rules'!$K$14+'Instructions &amp; Rules'!$K$15,0)+IF(AND(C14&lt;&gt;"",'Official Results'!R41&lt;&gt;"",C14='Official Results'!R41),'Instructions &amp; Rules'!$K$14,0)+IF(AND(D14&lt;&gt;"",'Official Results'!O40&lt;&gt;"",D14='Official Results'!O40),'Instructions &amp; Rules'!$K$16,0)</f>
        <v>0</v>
      </c>
      <c r="F14" s="71">
        <f>IF(AND(B14&lt;&gt;"",'Official Results'!R40&lt;&gt;"",B14='Official Results'!R40),1,0)+IF(AND(C14&lt;&gt;"",'Official Results'!R41&lt;&gt;"",C14='Official Results'!R41),1,0)+IF(AND(D14&lt;&gt;"",'Official Results'!O40&lt;&gt;"",D14='Official Results'!O40),1,0)</f>
        <v>0</v>
      </c>
      <c r="G14" s="72">
        <f t="shared" si="0"/>
        <v>0</v>
      </c>
    </row>
    <row r="15" spans="1:7" ht="15" customHeight="1">
      <c r="A15" s="75" t="str">
        <f>IF(Players!B15="","",Players!B15)</f>
        <v>Wawa</v>
      </c>
      <c r="B15" s="104"/>
      <c r="C15" s="104"/>
      <c r="D15" s="104"/>
      <c r="E15" s="70">
        <f>IF(AND(B15&lt;&gt;"",'Official Results'!R40&lt;&gt;"",B15='Official Results'!R40),'Instructions &amp; Rules'!$K$14+'Instructions &amp; Rules'!$K$15,0)+IF(AND(C15&lt;&gt;"",'Official Results'!R41&lt;&gt;"",C15='Official Results'!R41),'Instructions &amp; Rules'!$K$14,0)+IF(AND(D15&lt;&gt;"",'Official Results'!O40&lt;&gt;"",D15='Official Results'!O40),'Instructions &amp; Rules'!$K$16,0)</f>
        <v>0</v>
      </c>
      <c r="F15" s="71">
        <f>IF(AND(B15&lt;&gt;"",'Official Results'!R40&lt;&gt;"",B15='Official Results'!R40),1,0)+IF(AND(C15&lt;&gt;"",'Official Results'!R41&lt;&gt;"",C15='Official Results'!R41),1,0)+IF(AND(D15&lt;&gt;"",'Official Results'!O40&lt;&gt;"",D15='Official Results'!O40),1,0)</f>
        <v>0</v>
      </c>
      <c r="G15" s="72">
        <f t="shared" si="0"/>
        <v>0</v>
      </c>
    </row>
    <row r="16" spans="1:7" ht="15" customHeight="1">
      <c r="A16" s="75" t="str">
        <f>IF(Players!B16="","",Players!B16)</f>
        <v>Player 11</v>
      </c>
      <c r="B16" s="104"/>
      <c r="C16" s="104"/>
      <c r="D16" s="104"/>
      <c r="E16" s="70">
        <f>IF(AND(B16&lt;&gt;"",'Official Results'!R40&lt;&gt;"",B16='Official Results'!R40),'Instructions &amp; Rules'!$K$14+'Instructions &amp; Rules'!$K$15,0)+IF(AND(C16&lt;&gt;"",'Official Results'!R41&lt;&gt;"",C16='Official Results'!R41),'Instructions &amp; Rules'!$K$14,0)+IF(AND(D16&lt;&gt;"",'Official Results'!O40&lt;&gt;"",D16='Official Results'!O40),'Instructions &amp; Rules'!$K$16,0)</f>
        <v>0</v>
      </c>
      <c r="F16" s="71">
        <f>IF(AND(B16&lt;&gt;"",'Official Results'!R40&lt;&gt;"",B16='Official Results'!R40),1,0)+IF(AND(C16&lt;&gt;"",'Official Results'!R41&lt;&gt;"",C16='Official Results'!R41),1,0)+IF(AND(D16&lt;&gt;"",'Official Results'!O40&lt;&gt;"",D16='Official Results'!O40),1,0)</f>
        <v>0</v>
      </c>
      <c r="G16" s="72">
        <f t="shared" si="0"/>
        <v>0</v>
      </c>
    </row>
    <row r="17" spans="1:7" ht="15" customHeight="1">
      <c r="A17" s="75" t="str">
        <f>IF(Players!B17="","",Players!B17)</f>
        <v>Player 12</v>
      </c>
      <c r="B17" s="104"/>
      <c r="C17" s="104"/>
      <c r="D17" s="104"/>
      <c r="E17" s="70">
        <f>IF(AND(B17&lt;&gt;"",'Official Results'!R40&lt;&gt;"",B17='Official Results'!R40),'Instructions &amp; Rules'!$K$14+'Instructions &amp; Rules'!$K$15,0)+IF(AND(C17&lt;&gt;"",'Official Results'!R41&lt;&gt;"",C17='Official Results'!R41),'Instructions &amp; Rules'!$K$14,0)+IF(AND(D17&lt;&gt;"",'Official Results'!O40&lt;&gt;"",D17='Official Results'!O40),'Instructions &amp; Rules'!$K$16,0)</f>
        <v>0</v>
      </c>
      <c r="F17" s="71">
        <f>IF(AND(B17&lt;&gt;"",'Official Results'!R40&lt;&gt;"",B17='Official Results'!R40),1,0)+IF(AND(C17&lt;&gt;"",'Official Results'!R41&lt;&gt;"",C17='Official Results'!R41),1,0)+IF(AND(D17&lt;&gt;"",'Official Results'!O40&lt;&gt;"",D17='Official Results'!O40),1,0)</f>
        <v>0</v>
      </c>
      <c r="G17" s="72">
        <f t="shared" si="0"/>
        <v>0</v>
      </c>
    </row>
    <row r="18" spans="1:7" ht="15" customHeight="1">
      <c r="A18" s="75" t="str">
        <f>IF(Players!B18="","",Players!B18)</f>
        <v>Player 13</v>
      </c>
      <c r="B18" s="104"/>
      <c r="C18" s="104"/>
      <c r="D18" s="104"/>
      <c r="E18" s="70">
        <f>IF(AND(B18&lt;&gt;"",'Official Results'!R40&lt;&gt;"",B18='Official Results'!R40),'Instructions &amp; Rules'!$K$14+'Instructions &amp; Rules'!$K$15,0)+IF(AND(C18&lt;&gt;"",'Official Results'!R41&lt;&gt;"",C18='Official Results'!R41),'Instructions &amp; Rules'!$K$14,0)+IF(AND(D18&lt;&gt;"",'Official Results'!O40&lt;&gt;"",D18='Official Results'!O40),'Instructions &amp; Rules'!$K$16,0)</f>
        <v>0</v>
      </c>
      <c r="F18" s="71">
        <f>IF(AND(B18&lt;&gt;"",'Official Results'!R40&lt;&gt;"",B18='Official Results'!R40),1,0)+IF(AND(C18&lt;&gt;"",'Official Results'!R41&lt;&gt;"",C18='Official Results'!R41),1,0)+IF(AND(D18&lt;&gt;"",'Official Results'!O40&lt;&gt;"",D18='Official Results'!O40),1,0)</f>
        <v>0</v>
      </c>
      <c r="G18" s="72">
        <f t="shared" si="0"/>
        <v>0</v>
      </c>
    </row>
    <row r="19" spans="1:7" ht="15" customHeight="1">
      <c r="A19" s="75" t="str">
        <f>IF(Players!B19="","",Players!B19)</f>
        <v>Player 14</v>
      </c>
      <c r="B19" s="104"/>
      <c r="C19" s="104"/>
      <c r="D19" s="104"/>
      <c r="E19" s="70">
        <f>IF(AND(B19&lt;&gt;"",'Official Results'!R40&lt;&gt;"",B19='Official Results'!R40),'Instructions &amp; Rules'!$K$14+'Instructions &amp; Rules'!$K$15,0)+IF(AND(C19&lt;&gt;"",'Official Results'!R41&lt;&gt;"",C19='Official Results'!R41),'Instructions &amp; Rules'!$K$14,0)+IF(AND(D19&lt;&gt;"",'Official Results'!O40&lt;&gt;"",D19='Official Results'!O40),'Instructions &amp; Rules'!$K$16,0)</f>
        <v>0</v>
      </c>
      <c r="F19" s="71">
        <f>IF(AND(B19&lt;&gt;"",'Official Results'!R40&lt;&gt;"",B19='Official Results'!R40),1,0)+IF(AND(C19&lt;&gt;"",'Official Results'!R41&lt;&gt;"",C19='Official Results'!R41),1,0)+IF(AND(D19&lt;&gt;"",'Official Results'!O40&lt;&gt;"",D19='Official Results'!O40),1,0)</f>
        <v>0</v>
      </c>
      <c r="G19" s="72">
        <f t="shared" si="0"/>
        <v>0</v>
      </c>
    </row>
    <row r="20" spans="1:7" ht="15" customHeight="1">
      <c r="A20" s="75" t="str">
        <f>IF(Players!B20="","",Players!B20)</f>
        <v>Player 15</v>
      </c>
      <c r="B20" s="104"/>
      <c r="C20" s="104"/>
      <c r="D20" s="104"/>
      <c r="E20" s="70">
        <f>IF(AND(B20&lt;&gt;"",'Official Results'!R40&lt;&gt;"",B20='Official Results'!R40),'Instructions &amp; Rules'!$K$14+'Instructions &amp; Rules'!$K$15,0)+IF(AND(C20&lt;&gt;"",'Official Results'!R41&lt;&gt;"",C20='Official Results'!R41),'Instructions &amp; Rules'!$K$14,0)+IF(AND(D20&lt;&gt;"",'Official Results'!O40&lt;&gt;"",D20='Official Results'!O40),'Instructions &amp; Rules'!$K$16,0)</f>
        <v>0</v>
      </c>
      <c r="F20" s="71">
        <f>IF(AND(B20&lt;&gt;"",'Official Results'!R40&lt;&gt;"",B20='Official Results'!R40),1,0)+IF(AND(C20&lt;&gt;"",'Official Results'!R41&lt;&gt;"",C20='Official Results'!R41),1,0)+IF(AND(D20&lt;&gt;"",'Official Results'!O40&lt;&gt;"",D20='Official Results'!O40),1,0)</f>
        <v>0</v>
      </c>
      <c r="G20" s="72">
        <f t="shared" si="0"/>
        <v>0</v>
      </c>
    </row>
    <row r="21" spans="1:7" ht="15" customHeight="1">
      <c r="A21" s="75" t="str">
        <f>IF(Players!B21="","",Players!B21)</f>
        <v>Player 16</v>
      </c>
      <c r="B21" s="104"/>
      <c r="C21" s="104"/>
      <c r="D21" s="104"/>
      <c r="E21" s="70">
        <f>IF(AND(B21&lt;&gt;"",'Official Results'!R40&lt;&gt;"",B21='Official Results'!R40),'Instructions &amp; Rules'!$K$14+'Instructions &amp; Rules'!$K$15,0)+IF(AND(C21&lt;&gt;"",'Official Results'!R41&lt;&gt;"",C21='Official Results'!R41),'Instructions &amp; Rules'!$K$14,0)+IF(AND(D21&lt;&gt;"",'Official Results'!O40&lt;&gt;"",D21='Official Results'!O40),'Instructions &amp; Rules'!$K$16,0)</f>
        <v>0</v>
      </c>
      <c r="F21" s="71">
        <f>IF(AND(B21&lt;&gt;"",'Official Results'!R40&lt;&gt;"",B21='Official Results'!R40),1,0)+IF(AND(C21&lt;&gt;"",'Official Results'!R41&lt;&gt;"",C21='Official Results'!R41),1,0)+IF(AND(D21&lt;&gt;"",'Official Results'!O40&lt;&gt;"",D21='Official Results'!O40),1,0)</f>
        <v>0</v>
      </c>
      <c r="G21" s="72">
        <f t="shared" si="0"/>
        <v>0</v>
      </c>
    </row>
    <row r="22" spans="1:7" ht="15" customHeight="1">
      <c r="A22" s="75" t="str">
        <f>IF(Players!B22="","",Players!B22)</f>
        <v>Player 17</v>
      </c>
      <c r="B22" s="104"/>
      <c r="C22" s="104"/>
      <c r="D22" s="104"/>
      <c r="E22" s="70">
        <f>IF(AND(B22&lt;&gt;"",'Official Results'!R40&lt;&gt;"",B22='Official Results'!R40),'Instructions &amp; Rules'!$K$14+'Instructions &amp; Rules'!$K$15,0)+IF(AND(C22&lt;&gt;"",'Official Results'!R41&lt;&gt;"",C22='Official Results'!R41),'Instructions &amp; Rules'!$K$14,0)+IF(AND(D22&lt;&gt;"",'Official Results'!O40&lt;&gt;"",D22='Official Results'!O40),'Instructions &amp; Rules'!$K$16,0)</f>
        <v>0</v>
      </c>
      <c r="F22" s="71">
        <f>IF(AND(B22&lt;&gt;"",'Official Results'!R40&lt;&gt;"",B22='Official Results'!R40),1,0)+IF(AND(C22&lt;&gt;"",'Official Results'!R41&lt;&gt;"",C22='Official Results'!R41),1,0)+IF(AND(D22&lt;&gt;"",'Official Results'!O40&lt;&gt;"",D22='Official Results'!O40),1,0)</f>
        <v>0</v>
      </c>
      <c r="G22" s="72">
        <f t="shared" si="0"/>
        <v>0</v>
      </c>
    </row>
    <row r="23" spans="1:7" ht="15" customHeight="1">
      <c r="A23" s="75" t="str">
        <f>IF(Players!B23="","",Players!B23)</f>
        <v>Player 18</v>
      </c>
      <c r="B23" s="104"/>
      <c r="C23" s="104"/>
      <c r="D23" s="104"/>
      <c r="E23" s="70">
        <f>IF(AND(B23&lt;&gt;"",'Official Results'!R40&lt;&gt;"",B23='Official Results'!R40),'Instructions &amp; Rules'!$K$14+'Instructions &amp; Rules'!$K$15,0)+IF(AND(C23&lt;&gt;"",'Official Results'!R41&lt;&gt;"",C23='Official Results'!R41),'Instructions &amp; Rules'!$K$14,0)+IF(AND(D23&lt;&gt;"",'Official Results'!O40&lt;&gt;"",D23='Official Results'!O40),'Instructions &amp; Rules'!$K$16,0)</f>
        <v>0</v>
      </c>
      <c r="F23" s="71">
        <f>IF(AND(B23&lt;&gt;"",'Official Results'!R40&lt;&gt;"",B23='Official Results'!R40),1,0)+IF(AND(C23&lt;&gt;"",'Official Results'!R41&lt;&gt;"",C23='Official Results'!R41),1,0)+IF(AND(D23&lt;&gt;"",'Official Results'!O40&lt;&gt;"",D23='Official Results'!O40),1,0)</f>
        <v>0</v>
      </c>
      <c r="G23" s="72">
        <f t="shared" si="0"/>
        <v>0</v>
      </c>
    </row>
    <row r="24" spans="1:7" ht="15" customHeight="1">
      <c r="A24" s="75" t="str">
        <f>IF(Players!B24="","",Players!B24)</f>
        <v>Player 19</v>
      </c>
      <c r="B24" s="104"/>
      <c r="C24" s="104"/>
      <c r="D24" s="104"/>
      <c r="E24" s="70">
        <f>IF(AND(B24&lt;&gt;"",'Official Results'!R40&lt;&gt;"",B24='Official Results'!R40),'Instructions &amp; Rules'!$K$14+'Instructions &amp; Rules'!$K$15,0)+IF(AND(C24&lt;&gt;"",'Official Results'!R41&lt;&gt;"",C24='Official Results'!R41),'Instructions &amp; Rules'!$K$14,0)+IF(AND(D24&lt;&gt;"",'Official Results'!O40&lt;&gt;"",D24='Official Results'!O40),'Instructions &amp; Rules'!$K$16,0)</f>
        <v>0</v>
      </c>
      <c r="F24" s="71">
        <f>IF(AND(B24&lt;&gt;"",'Official Results'!R40&lt;&gt;"",B24='Official Results'!R40),1,0)+IF(AND(C24&lt;&gt;"",'Official Results'!R41&lt;&gt;"",C24='Official Results'!R41),1,0)+IF(AND(D24&lt;&gt;"",'Official Results'!O40&lt;&gt;"",D24='Official Results'!O40),1,0)</f>
        <v>0</v>
      </c>
      <c r="G24" s="72">
        <f t="shared" si="0"/>
        <v>0</v>
      </c>
    </row>
    <row r="25" spans="1:7" ht="15" customHeight="1">
      <c r="A25" s="75" t="str">
        <f>IF(Players!B25="","",Players!B25)</f>
        <v>Player 20</v>
      </c>
      <c r="B25" s="104"/>
      <c r="C25" s="104"/>
      <c r="D25" s="104"/>
      <c r="E25" s="70">
        <f>IF(AND(B25&lt;&gt;"",'Official Results'!R40&lt;&gt;"",B25='Official Results'!R40),'Instructions &amp; Rules'!$K$14+'Instructions &amp; Rules'!$K$15,0)+IF(AND(C25&lt;&gt;"",'Official Results'!R41&lt;&gt;"",C25='Official Results'!R41),'Instructions &amp; Rules'!$K$14,0)+IF(AND(D25&lt;&gt;"",'Official Results'!O40&lt;&gt;"",D25='Official Results'!O40),'Instructions &amp; Rules'!$K$16,0)</f>
        <v>0</v>
      </c>
      <c r="F25" s="71">
        <f>IF(AND(B25&lt;&gt;"",'Official Results'!R40&lt;&gt;"",B25='Official Results'!R40),1,0)+IF(AND(C25&lt;&gt;"",'Official Results'!R41&lt;&gt;"",C25='Official Results'!R41),1,0)+IF(AND(D25&lt;&gt;"",'Official Results'!O40&lt;&gt;"",D25='Official Results'!O40),1,0)</f>
        <v>0</v>
      </c>
      <c r="G25" s="72">
        <f t="shared" si="0"/>
        <v>0</v>
      </c>
    </row>
  </sheetData>
  <mergeCells count="2">
    <mergeCell ref="A1:G2"/>
    <mergeCell ref="A4:G4"/>
  </mergeCells>
  <dataValidations count="2">
    <dataValidation type="list" allowBlank="1" errorTitle="Invalid selection" error="Please choose a team from the dropdown list." promptTitle="Choose team" prompt="Select one of the teams allowed for this match." sqref="B6:C25" xr:uid="{00000000-0002-0000-0800-000000000000}">
      <formula1>KO_Final</formula1>
    </dataValidation>
    <dataValidation type="list" allowBlank="1" errorTitle="Invalid selection" error="Please choose a team from the dropdown list." promptTitle="Choose team" prompt="Select one of the teams allowed for this match." sqref="D6:D25" xr:uid="{00000000-0002-0000-0800-000002000000}">
      <formula1>KO_Third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"/>
  <sheetViews>
    <sheetView showGridLines="0" zoomScaleNormal="100" workbookViewId="0">
      <selection activeCell="A5" sqref="A5"/>
    </sheetView>
  </sheetViews>
  <sheetFormatPr defaultColWidth="8.7109375" defaultRowHeight="15" customHeight="1"/>
  <cols>
    <col min="1" max="1" width="11.140625" customWidth="1"/>
    <col min="2" max="2" width="24.5703125" bestFit="1" customWidth="1"/>
    <col min="3" max="3" width="12" customWidth="1"/>
    <col min="4" max="4" width="13" customWidth="1"/>
    <col min="5" max="6" width="14" customWidth="1"/>
    <col min="7" max="8" width="12" customWidth="1"/>
    <col min="9" max="9" width="18" customWidth="1"/>
  </cols>
  <sheetData>
    <row r="1" spans="1:9" ht="15" customHeight="1">
      <c r="A1" s="162" t="s">
        <v>288</v>
      </c>
      <c r="B1" s="232"/>
      <c r="C1" s="232"/>
      <c r="D1" s="232"/>
      <c r="E1" s="232"/>
      <c r="F1" s="232"/>
      <c r="G1" s="232"/>
      <c r="H1" s="232"/>
      <c r="I1" s="233"/>
    </row>
    <row r="2" spans="1:9" ht="15" customHeight="1">
      <c r="A2" s="234"/>
      <c r="B2" s="235"/>
      <c r="C2" s="235"/>
      <c r="D2" s="235"/>
      <c r="E2" s="235"/>
      <c r="F2" s="235"/>
      <c r="G2" s="235"/>
      <c r="H2" s="235"/>
      <c r="I2" s="236"/>
    </row>
    <row r="4" spans="1:9" ht="15" customHeight="1">
      <c r="A4" s="171" t="s">
        <v>289</v>
      </c>
      <c r="B4" s="243"/>
      <c r="C4" s="243"/>
      <c r="D4" s="243"/>
      <c r="E4" s="243"/>
      <c r="F4" s="243"/>
      <c r="G4" s="243"/>
      <c r="H4" s="243"/>
      <c r="I4" s="243"/>
    </row>
    <row r="5" spans="1:9" ht="28.35" customHeight="1">
      <c r="A5" s="13" t="s">
        <v>228</v>
      </c>
      <c r="B5" s="14" t="s">
        <v>267</v>
      </c>
      <c r="C5" s="14" t="s">
        <v>56</v>
      </c>
      <c r="D5" s="14" t="s">
        <v>290</v>
      </c>
      <c r="E5" s="14" t="s">
        <v>291</v>
      </c>
      <c r="F5" s="14" t="s">
        <v>58</v>
      </c>
      <c r="G5" s="14" t="s">
        <v>292</v>
      </c>
      <c r="H5" s="14" t="s">
        <v>293</v>
      </c>
      <c r="I5" s="15" t="s">
        <v>231</v>
      </c>
    </row>
    <row r="6" spans="1:9" ht="15" customHeight="1">
      <c r="A6" s="76">
        <f t="shared" ref="A6:A25" si="0">_xlfn.SINGLE(_xlfn.RANK.EQ(I6, $I$6:$I$25, 0))</f>
        <v>3</v>
      </c>
      <c r="B6" s="77" t="str">
        <f>Players!B6</f>
        <v>Febby Yudhi Pratama</v>
      </c>
      <c r="C6" s="78">
        <f>Players!A6</f>
        <v>1</v>
      </c>
      <c r="D6" s="79">
        <f>'Group Stage Predictions'!BK6</f>
        <v>105</v>
      </c>
      <c r="E6" s="80">
        <f>'Round of 32 Predictions'!R6+'Round of 16 Predictions'!J6+'Quarter-finals Predictions'!F6+'Semi-finals Predictions'!D6+'Final Predictions'!E6</f>
        <v>38</v>
      </c>
      <c r="F6" s="81">
        <f>Players!C6</f>
        <v>0</v>
      </c>
      <c r="G6" s="82">
        <f t="shared" ref="G6:G25" si="1">D6+E6+F6</f>
        <v>143</v>
      </c>
      <c r="H6" s="83">
        <f>'Group Stage Predictions'!BL6+'Round of 32 Predictions'!S6+'Round of 16 Predictions'!K6+'Quarter-finals Predictions'!G6+'Semi-finals Predictions'!E6+'Final Predictions'!F6</f>
        <v>37</v>
      </c>
      <c r="I6" s="84">
        <f t="shared" ref="I6:I25" si="2">G6*1000000+H6*1000+(100-C6)</f>
        <v>143037099</v>
      </c>
    </row>
    <row r="7" spans="1:9" ht="15" customHeight="1">
      <c r="A7" s="76">
        <f t="shared" si="0"/>
        <v>4</v>
      </c>
      <c r="B7" s="77" t="str">
        <f>Players!B7</f>
        <v>Fathan Mauludin</v>
      </c>
      <c r="C7" s="78">
        <f>Players!A7</f>
        <v>2</v>
      </c>
      <c r="D7" s="79">
        <f>'Group Stage Predictions'!BK7</f>
        <v>94</v>
      </c>
      <c r="E7" s="80">
        <f>'Round of 32 Predictions'!R7+'Round of 16 Predictions'!J7+'Quarter-finals Predictions'!F7+'Semi-finals Predictions'!D7+'Final Predictions'!E7</f>
        <v>38</v>
      </c>
      <c r="F7" s="81">
        <f>Players!C7</f>
        <v>0</v>
      </c>
      <c r="G7" s="82">
        <f t="shared" si="1"/>
        <v>132</v>
      </c>
      <c r="H7" s="83">
        <f>'Group Stage Predictions'!BL7+'Round of 32 Predictions'!S7+'Round of 16 Predictions'!K7+'Quarter-finals Predictions'!G7+'Semi-finals Predictions'!E7+'Final Predictions'!F7</f>
        <v>35</v>
      </c>
      <c r="I7" s="84">
        <f t="shared" si="2"/>
        <v>132035098</v>
      </c>
    </row>
    <row r="8" spans="1:9" ht="15" customHeight="1">
      <c r="A8" s="76">
        <f t="shared" si="0"/>
        <v>6</v>
      </c>
      <c r="B8" s="77" t="str">
        <f>Players!B8</f>
        <v>M Fakhri Auladana</v>
      </c>
      <c r="C8" s="78">
        <f>Players!A8</f>
        <v>3</v>
      </c>
      <c r="D8" s="79">
        <f>'Group Stage Predictions'!BK8</f>
        <v>85</v>
      </c>
      <c r="E8" s="80">
        <f>'Round of 32 Predictions'!R8+'Round of 16 Predictions'!J8+'Quarter-finals Predictions'!F8+'Semi-finals Predictions'!D8+'Final Predictions'!E8</f>
        <v>40</v>
      </c>
      <c r="F8" s="81">
        <f>Players!C8</f>
        <v>0</v>
      </c>
      <c r="G8" s="82">
        <f t="shared" si="1"/>
        <v>125</v>
      </c>
      <c r="H8" s="83">
        <f>'Group Stage Predictions'!BL8+'Round of 32 Predictions'!S8+'Round of 16 Predictions'!K8+'Quarter-finals Predictions'!G8+'Semi-finals Predictions'!E8+'Final Predictions'!F8</f>
        <v>35</v>
      </c>
      <c r="I8" s="84">
        <f t="shared" si="2"/>
        <v>125035097</v>
      </c>
    </row>
    <row r="9" spans="1:9" ht="15" customHeight="1">
      <c r="A9" s="76">
        <f t="shared" si="0"/>
        <v>1</v>
      </c>
      <c r="B9" s="77" t="str">
        <f>Players!B9</f>
        <v>Muhammad Naufal Aiman</v>
      </c>
      <c r="C9" s="78">
        <f>Players!A9</f>
        <v>4</v>
      </c>
      <c r="D9" s="79">
        <f>'Group Stage Predictions'!BK9</f>
        <v>113</v>
      </c>
      <c r="E9" s="80">
        <f>'Round of 32 Predictions'!R9+'Round of 16 Predictions'!J9+'Quarter-finals Predictions'!F9+'Semi-finals Predictions'!D9+'Final Predictions'!E9</f>
        <v>40</v>
      </c>
      <c r="F9" s="81">
        <f>Players!C9</f>
        <v>0</v>
      </c>
      <c r="G9" s="82">
        <f t="shared" si="1"/>
        <v>153</v>
      </c>
      <c r="H9" s="83">
        <f>'Group Stage Predictions'!BL9+'Round of 32 Predictions'!S9+'Round of 16 Predictions'!K9+'Quarter-finals Predictions'!G9+'Semi-finals Predictions'!E9+'Final Predictions'!F9</f>
        <v>40</v>
      </c>
      <c r="I9" s="84">
        <f t="shared" si="2"/>
        <v>153040096</v>
      </c>
    </row>
    <row r="10" spans="1:9" ht="15" customHeight="1">
      <c r="A10" s="76">
        <f t="shared" si="0"/>
        <v>7</v>
      </c>
      <c r="B10" s="77" t="str">
        <f>Players!B10</f>
        <v>Ahade</v>
      </c>
      <c r="C10" s="78">
        <f>Players!A10</f>
        <v>5</v>
      </c>
      <c r="D10" s="79">
        <f>'Group Stage Predictions'!BK10</f>
        <v>84</v>
      </c>
      <c r="E10" s="80">
        <f>'Round of 32 Predictions'!R10+'Round of 16 Predictions'!J10+'Quarter-finals Predictions'!F10+'Semi-finals Predictions'!D10+'Final Predictions'!E10</f>
        <v>38</v>
      </c>
      <c r="F10" s="81">
        <f>Players!C10</f>
        <v>0</v>
      </c>
      <c r="G10" s="82">
        <f t="shared" si="1"/>
        <v>122</v>
      </c>
      <c r="H10" s="83">
        <f>'Group Stage Predictions'!BL10+'Round of 32 Predictions'!S10+'Round of 16 Predictions'!K10+'Quarter-finals Predictions'!G10+'Semi-finals Predictions'!E10+'Final Predictions'!F10</f>
        <v>33</v>
      </c>
      <c r="I10" s="84">
        <f t="shared" si="2"/>
        <v>122033095</v>
      </c>
    </row>
    <row r="11" spans="1:9" ht="15" customHeight="1">
      <c r="A11" s="76">
        <f t="shared" si="0"/>
        <v>2</v>
      </c>
      <c r="B11" s="77" t="str">
        <f>Players!B11</f>
        <v>Aldy</v>
      </c>
      <c r="C11" s="78">
        <f>Players!A11</f>
        <v>6</v>
      </c>
      <c r="D11" s="79">
        <f>'Group Stage Predictions'!BK11</f>
        <v>108</v>
      </c>
      <c r="E11" s="80">
        <f>'Round of 32 Predictions'!R11+'Round of 16 Predictions'!J11+'Quarter-finals Predictions'!F11+'Semi-finals Predictions'!D11+'Final Predictions'!E11</f>
        <v>36</v>
      </c>
      <c r="F11" s="81">
        <f>Players!C11</f>
        <v>0</v>
      </c>
      <c r="G11" s="82">
        <f t="shared" si="1"/>
        <v>144</v>
      </c>
      <c r="H11" s="83">
        <f>'Group Stage Predictions'!BL11+'Round of 32 Predictions'!S11+'Round of 16 Predictions'!K11+'Quarter-finals Predictions'!G11+'Semi-finals Predictions'!E11+'Final Predictions'!F11</f>
        <v>38</v>
      </c>
      <c r="I11" s="84">
        <f t="shared" si="2"/>
        <v>144038094</v>
      </c>
    </row>
    <row r="12" spans="1:9" ht="15" customHeight="1">
      <c r="A12" s="76">
        <f t="shared" si="0"/>
        <v>5</v>
      </c>
      <c r="B12" s="77" t="str">
        <f>Players!B12</f>
        <v>Affaninho</v>
      </c>
      <c r="C12" s="78">
        <f>Players!A12</f>
        <v>7</v>
      </c>
      <c r="D12" s="79">
        <f>'Group Stage Predictions'!BK12</f>
        <v>84</v>
      </c>
      <c r="E12" s="80">
        <f>'Round of 32 Predictions'!R12+'Round of 16 Predictions'!J12+'Quarter-finals Predictions'!F12+'Semi-finals Predictions'!D12+'Final Predictions'!E12</f>
        <v>42</v>
      </c>
      <c r="F12" s="81">
        <f>Players!C12</f>
        <v>0</v>
      </c>
      <c r="G12" s="82">
        <f t="shared" si="1"/>
        <v>126</v>
      </c>
      <c r="H12" s="83">
        <f>'Group Stage Predictions'!BL12+'Round of 32 Predictions'!S12+'Round of 16 Predictions'!K12+'Quarter-finals Predictions'!G12+'Semi-finals Predictions'!E12+'Final Predictions'!F12</f>
        <v>34</v>
      </c>
      <c r="I12" s="84">
        <f t="shared" si="2"/>
        <v>126034093</v>
      </c>
    </row>
    <row r="13" spans="1:9" ht="15" customHeight="1">
      <c r="A13" s="76">
        <f t="shared" si="0"/>
        <v>9</v>
      </c>
      <c r="B13" s="77" t="str">
        <f>Players!B13</f>
        <v>Aji</v>
      </c>
      <c r="C13" s="78">
        <f>Players!A13</f>
        <v>8</v>
      </c>
      <c r="D13" s="79">
        <f>'Group Stage Predictions'!BK13</f>
        <v>0</v>
      </c>
      <c r="E13" s="80">
        <f>'Round of 32 Predictions'!R13+'Round of 16 Predictions'!J13+'Quarter-finals Predictions'!F13+'Semi-finals Predictions'!D13+'Final Predictions'!E13</f>
        <v>30</v>
      </c>
      <c r="F13" s="81">
        <f>Players!C13</f>
        <v>0</v>
      </c>
      <c r="G13" s="82">
        <f t="shared" si="1"/>
        <v>30</v>
      </c>
      <c r="H13" s="83">
        <f>'Group Stage Predictions'!BL13+'Round of 32 Predictions'!S13+'Round of 16 Predictions'!K13+'Quarter-finals Predictions'!G13+'Semi-finals Predictions'!E13+'Final Predictions'!F13</f>
        <v>12</v>
      </c>
      <c r="I13" s="84">
        <f t="shared" si="2"/>
        <v>30012092</v>
      </c>
    </row>
    <row r="14" spans="1:9" ht="15" customHeight="1">
      <c r="A14" s="76">
        <f t="shared" si="0"/>
        <v>8</v>
      </c>
      <c r="B14" s="77" t="str">
        <f>Players!B14</f>
        <v>Dausman</v>
      </c>
      <c r="C14" s="78">
        <f>Players!A14</f>
        <v>9</v>
      </c>
      <c r="D14" s="79">
        <f>'Group Stage Predictions'!BK14</f>
        <v>0</v>
      </c>
      <c r="E14" s="80">
        <f>'Round of 32 Predictions'!R14+'Round of 16 Predictions'!J14+'Quarter-finals Predictions'!F14+'Semi-finals Predictions'!D14+'Final Predictions'!E14</f>
        <v>38</v>
      </c>
      <c r="F14" s="81">
        <f>Players!C14</f>
        <v>0</v>
      </c>
      <c r="G14" s="82">
        <f t="shared" si="1"/>
        <v>38</v>
      </c>
      <c r="H14" s="83">
        <f>'Group Stage Predictions'!BL14+'Round of 32 Predictions'!S14+'Round of 16 Predictions'!K14+'Quarter-finals Predictions'!G14+'Semi-finals Predictions'!E14+'Final Predictions'!F14</f>
        <v>16</v>
      </c>
      <c r="I14" s="84">
        <f t="shared" si="2"/>
        <v>38016091</v>
      </c>
    </row>
    <row r="15" spans="1:9" ht="15" customHeight="1">
      <c r="A15" s="76">
        <f t="shared" si="0"/>
        <v>10</v>
      </c>
      <c r="B15" s="77" t="str">
        <f>Players!B15</f>
        <v>Wawa</v>
      </c>
      <c r="C15" s="78">
        <f>Players!A15</f>
        <v>10</v>
      </c>
      <c r="D15" s="79">
        <f>'Group Stage Predictions'!BK15</f>
        <v>0</v>
      </c>
      <c r="E15" s="80">
        <f>'Round of 32 Predictions'!R15+'Round of 16 Predictions'!J15+'Quarter-finals Predictions'!F15+'Semi-finals Predictions'!D15+'Final Predictions'!E15</f>
        <v>12</v>
      </c>
      <c r="F15" s="81">
        <f>Players!C15</f>
        <v>0</v>
      </c>
      <c r="G15" s="82">
        <f t="shared" si="1"/>
        <v>12</v>
      </c>
      <c r="H15" s="83">
        <f>'Group Stage Predictions'!BL15+'Round of 32 Predictions'!S15+'Round of 16 Predictions'!K15+'Quarter-finals Predictions'!G15+'Semi-finals Predictions'!E15+'Final Predictions'!F15</f>
        <v>3</v>
      </c>
      <c r="I15" s="84">
        <f t="shared" si="2"/>
        <v>12003090</v>
      </c>
    </row>
    <row r="16" spans="1:9" ht="15" customHeight="1">
      <c r="A16" s="76">
        <f t="shared" si="0"/>
        <v>11</v>
      </c>
      <c r="B16" s="77" t="str">
        <f>Players!B16</f>
        <v>Player 11</v>
      </c>
      <c r="C16" s="78">
        <f>Players!A16</f>
        <v>11</v>
      </c>
      <c r="D16" s="79">
        <f>'Group Stage Predictions'!BK16</f>
        <v>0</v>
      </c>
      <c r="E16" s="80">
        <f>'Round of 32 Predictions'!R16+'Round of 16 Predictions'!J16+'Quarter-finals Predictions'!F16+'Semi-finals Predictions'!D16+'Final Predictions'!E16</f>
        <v>0</v>
      </c>
      <c r="F16" s="81">
        <f>Players!C16</f>
        <v>0</v>
      </c>
      <c r="G16" s="82">
        <f t="shared" si="1"/>
        <v>0</v>
      </c>
      <c r="H16" s="83">
        <f>'Group Stage Predictions'!BL16+'Round of 32 Predictions'!S16+'Round of 16 Predictions'!K16+'Quarter-finals Predictions'!G16+'Semi-finals Predictions'!E16+'Final Predictions'!F16</f>
        <v>0</v>
      </c>
      <c r="I16" s="84">
        <f t="shared" si="2"/>
        <v>89</v>
      </c>
    </row>
    <row r="17" spans="1:9" ht="15" customHeight="1">
      <c r="A17" s="76">
        <f t="shared" si="0"/>
        <v>12</v>
      </c>
      <c r="B17" s="77" t="str">
        <f>Players!B17</f>
        <v>Player 12</v>
      </c>
      <c r="C17" s="78">
        <f>Players!A17</f>
        <v>12</v>
      </c>
      <c r="D17" s="79">
        <f>'Group Stage Predictions'!BK17</f>
        <v>0</v>
      </c>
      <c r="E17" s="80">
        <f>'Round of 32 Predictions'!R17+'Round of 16 Predictions'!J17+'Quarter-finals Predictions'!F17+'Semi-finals Predictions'!D17+'Final Predictions'!E17</f>
        <v>0</v>
      </c>
      <c r="F17" s="81">
        <f>Players!C17</f>
        <v>0</v>
      </c>
      <c r="G17" s="82">
        <f t="shared" si="1"/>
        <v>0</v>
      </c>
      <c r="H17" s="83">
        <f>'Group Stage Predictions'!BL17+'Round of 32 Predictions'!S17+'Round of 16 Predictions'!K17+'Quarter-finals Predictions'!G17+'Semi-finals Predictions'!E17+'Final Predictions'!F17</f>
        <v>0</v>
      </c>
      <c r="I17" s="84">
        <f t="shared" si="2"/>
        <v>88</v>
      </c>
    </row>
    <row r="18" spans="1:9" ht="15" customHeight="1">
      <c r="A18" s="76">
        <f t="shared" si="0"/>
        <v>13</v>
      </c>
      <c r="B18" s="77" t="str">
        <f>Players!B18</f>
        <v>Player 13</v>
      </c>
      <c r="C18" s="78">
        <f>Players!A18</f>
        <v>13</v>
      </c>
      <c r="D18" s="79">
        <f>'Group Stage Predictions'!BK18</f>
        <v>0</v>
      </c>
      <c r="E18" s="80">
        <f>'Round of 32 Predictions'!R18+'Round of 16 Predictions'!J18+'Quarter-finals Predictions'!F18+'Semi-finals Predictions'!D18+'Final Predictions'!E18</f>
        <v>0</v>
      </c>
      <c r="F18" s="81">
        <f>Players!C18</f>
        <v>0</v>
      </c>
      <c r="G18" s="82">
        <f t="shared" si="1"/>
        <v>0</v>
      </c>
      <c r="H18" s="83">
        <f>'Group Stage Predictions'!BL18+'Round of 32 Predictions'!S18+'Round of 16 Predictions'!K18+'Quarter-finals Predictions'!G18+'Semi-finals Predictions'!E18+'Final Predictions'!F18</f>
        <v>0</v>
      </c>
      <c r="I18" s="84">
        <f t="shared" si="2"/>
        <v>87</v>
      </c>
    </row>
    <row r="19" spans="1:9" ht="15" customHeight="1">
      <c r="A19" s="76">
        <f t="shared" si="0"/>
        <v>14</v>
      </c>
      <c r="B19" s="77" t="str">
        <f>Players!B19</f>
        <v>Player 14</v>
      </c>
      <c r="C19" s="78">
        <f>Players!A19</f>
        <v>14</v>
      </c>
      <c r="D19" s="79">
        <f>'Group Stage Predictions'!BK19</f>
        <v>0</v>
      </c>
      <c r="E19" s="80">
        <f>'Round of 32 Predictions'!R19+'Round of 16 Predictions'!J19+'Quarter-finals Predictions'!F19+'Semi-finals Predictions'!D19+'Final Predictions'!E19</f>
        <v>0</v>
      </c>
      <c r="F19" s="81">
        <f>Players!C19</f>
        <v>0</v>
      </c>
      <c r="G19" s="82">
        <f t="shared" si="1"/>
        <v>0</v>
      </c>
      <c r="H19" s="83">
        <f>'Group Stage Predictions'!BL19+'Round of 32 Predictions'!S19+'Round of 16 Predictions'!K19+'Quarter-finals Predictions'!G19+'Semi-finals Predictions'!E19+'Final Predictions'!F19</f>
        <v>0</v>
      </c>
      <c r="I19" s="84">
        <f t="shared" si="2"/>
        <v>86</v>
      </c>
    </row>
    <row r="20" spans="1:9" ht="15" customHeight="1">
      <c r="A20" s="76">
        <f t="shared" si="0"/>
        <v>15</v>
      </c>
      <c r="B20" s="77" t="str">
        <f>Players!B20</f>
        <v>Player 15</v>
      </c>
      <c r="C20" s="78">
        <f>Players!A20</f>
        <v>15</v>
      </c>
      <c r="D20" s="79">
        <f>'Group Stage Predictions'!BK20</f>
        <v>0</v>
      </c>
      <c r="E20" s="80">
        <f>'Round of 32 Predictions'!R20+'Round of 16 Predictions'!J20+'Quarter-finals Predictions'!F20+'Semi-finals Predictions'!D20+'Final Predictions'!E20</f>
        <v>0</v>
      </c>
      <c r="F20" s="81">
        <f>Players!C20</f>
        <v>0</v>
      </c>
      <c r="G20" s="82">
        <f t="shared" si="1"/>
        <v>0</v>
      </c>
      <c r="H20" s="83">
        <f>'Group Stage Predictions'!BL20+'Round of 32 Predictions'!S20+'Round of 16 Predictions'!K20+'Quarter-finals Predictions'!G20+'Semi-finals Predictions'!E20+'Final Predictions'!F20</f>
        <v>0</v>
      </c>
      <c r="I20" s="84">
        <f t="shared" si="2"/>
        <v>85</v>
      </c>
    </row>
    <row r="21" spans="1:9" ht="15" customHeight="1">
      <c r="A21" s="76">
        <f t="shared" si="0"/>
        <v>16</v>
      </c>
      <c r="B21" s="77" t="str">
        <f>Players!B21</f>
        <v>Player 16</v>
      </c>
      <c r="C21" s="78">
        <f>Players!A21</f>
        <v>16</v>
      </c>
      <c r="D21" s="79">
        <f>'Group Stage Predictions'!BK21</f>
        <v>0</v>
      </c>
      <c r="E21" s="80">
        <f>'Round of 32 Predictions'!R21+'Round of 16 Predictions'!J21+'Quarter-finals Predictions'!F21+'Semi-finals Predictions'!D21+'Final Predictions'!E21</f>
        <v>0</v>
      </c>
      <c r="F21" s="81">
        <f>Players!C21</f>
        <v>0</v>
      </c>
      <c r="G21" s="82">
        <f t="shared" si="1"/>
        <v>0</v>
      </c>
      <c r="H21" s="83">
        <f>'Group Stage Predictions'!BL21+'Round of 32 Predictions'!S21+'Round of 16 Predictions'!K21+'Quarter-finals Predictions'!G21+'Semi-finals Predictions'!E21+'Final Predictions'!F21</f>
        <v>0</v>
      </c>
      <c r="I21" s="84">
        <f t="shared" si="2"/>
        <v>84</v>
      </c>
    </row>
    <row r="22" spans="1:9" ht="15" customHeight="1">
      <c r="A22" s="76">
        <f t="shared" si="0"/>
        <v>17</v>
      </c>
      <c r="B22" s="77" t="str">
        <f>Players!B22</f>
        <v>Player 17</v>
      </c>
      <c r="C22" s="78">
        <f>Players!A22</f>
        <v>17</v>
      </c>
      <c r="D22" s="79">
        <f>'Group Stage Predictions'!BK22</f>
        <v>0</v>
      </c>
      <c r="E22" s="80">
        <f>'Round of 32 Predictions'!R22+'Round of 16 Predictions'!J22+'Quarter-finals Predictions'!F22+'Semi-finals Predictions'!D22+'Final Predictions'!E22</f>
        <v>0</v>
      </c>
      <c r="F22" s="81">
        <f>Players!C22</f>
        <v>0</v>
      </c>
      <c r="G22" s="82">
        <f t="shared" si="1"/>
        <v>0</v>
      </c>
      <c r="H22" s="83">
        <f>'Group Stage Predictions'!BL22+'Round of 32 Predictions'!S22+'Round of 16 Predictions'!K22+'Quarter-finals Predictions'!G22+'Semi-finals Predictions'!E22+'Final Predictions'!F22</f>
        <v>0</v>
      </c>
      <c r="I22" s="84">
        <f t="shared" si="2"/>
        <v>83</v>
      </c>
    </row>
    <row r="23" spans="1:9" ht="15" customHeight="1">
      <c r="A23" s="76">
        <f t="shared" si="0"/>
        <v>18</v>
      </c>
      <c r="B23" s="77" t="str">
        <f>Players!B23</f>
        <v>Player 18</v>
      </c>
      <c r="C23" s="78">
        <f>Players!A23</f>
        <v>18</v>
      </c>
      <c r="D23" s="79">
        <f>'Group Stage Predictions'!BK23</f>
        <v>0</v>
      </c>
      <c r="E23" s="80">
        <f>'Round of 32 Predictions'!R23+'Round of 16 Predictions'!J23+'Quarter-finals Predictions'!F23+'Semi-finals Predictions'!D23+'Final Predictions'!E23</f>
        <v>0</v>
      </c>
      <c r="F23" s="81">
        <f>Players!C23</f>
        <v>0</v>
      </c>
      <c r="G23" s="82">
        <f t="shared" si="1"/>
        <v>0</v>
      </c>
      <c r="H23" s="83">
        <f>'Group Stage Predictions'!BL23+'Round of 32 Predictions'!S23+'Round of 16 Predictions'!K23+'Quarter-finals Predictions'!G23+'Semi-finals Predictions'!E23+'Final Predictions'!F23</f>
        <v>0</v>
      </c>
      <c r="I23" s="84">
        <f t="shared" si="2"/>
        <v>82</v>
      </c>
    </row>
    <row r="24" spans="1:9" ht="15" customHeight="1">
      <c r="A24" s="76">
        <f t="shared" si="0"/>
        <v>19</v>
      </c>
      <c r="B24" s="77" t="str">
        <f>Players!B24</f>
        <v>Player 19</v>
      </c>
      <c r="C24" s="78">
        <f>Players!A24</f>
        <v>19</v>
      </c>
      <c r="D24" s="79">
        <f>'Group Stage Predictions'!BK24</f>
        <v>0</v>
      </c>
      <c r="E24" s="80">
        <f>'Round of 32 Predictions'!R24+'Round of 16 Predictions'!J24+'Quarter-finals Predictions'!F24+'Semi-finals Predictions'!D24+'Final Predictions'!E24</f>
        <v>0</v>
      </c>
      <c r="F24" s="81">
        <f>Players!C24</f>
        <v>0</v>
      </c>
      <c r="G24" s="82">
        <f t="shared" si="1"/>
        <v>0</v>
      </c>
      <c r="H24" s="83">
        <f>'Group Stage Predictions'!BL24+'Round of 32 Predictions'!S24+'Round of 16 Predictions'!K24+'Quarter-finals Predictions'!G24+'Semi-finals Predictions'!E24+'Final Predictions'!F24</f>
        <v>0</v>
      </c>
      <c r="I24" s="84">
        <f t="shared" si="2"/>
        <v>81</v>
      </c>
    </row>
    <row r="25" spans="1:9" ht="15" customHeight="1">
      <c r="A25" s="76">
        <f t="shared" si="0"/>
        <v>20</v>
      </c>
      <c r="B25" s="77" t="str">
        <f>Players!B25</f>
        <v>Player 20</v>
      </c>
      <c r="C25" s="78">
        <f>Players!A25</f>
        <v>20</v>
      </c>
      <c r="D25" s="79">
        <f>'Group Stage Predictions'!BK25</f>
        <v>0</v>
      </c>
      <c r="E25" s="80">
        <f>'Round of 32 Predictions'!R25+'Round of 16 Predictions'!J25+'Quarter-finals Predictions'!F25+'Semi-finals Predictions'!D25+'Final Predictions'!E25</f>
        <v>0</v>
      </c>
      <c r="F25" s="81">
        <f>Players!C25</f>
        <v>0</v>
      </c>
      <c r="G25" s="82">
        <f t="shared" si="1"/>
        <v>0</v>
      </c>
      <c r="H25" s="83">
        <f>'Group Stage Predictions'!BL25+'Round of 32 Predictions'!S25+'Round of 16 Predictions'!K25+'Quarter-finals Predictions'!G25+'Semi-finals Predictions'!E25+'Final Predictions'!F25</f>
        <v>0</v>
      </c>
      <c r="I25" s="84">
        <f t="shared" si="2"/>
        <v>80</v>
      </c>
    </row>
  </sheetData>
  <mergeCells count="2">
    <mergeCell ref="A1:I2"/>
    <mergeCell ref="A4:I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T49"/>
  <sheetViews>
    <sheetView workbookViewId="0"/>
  </sheetViews>
  <sheetFormatPr defaultRowHeight="12.75"/>
  <sheetData>
    <row r="1" spans="1:46">
      <c r="A1" t="s">
        <v>294</v>
      </c>
      <c r="B1" t="s">
        <v>82</v>
      </c>
      <c r="C1" t="s">
        <v>83</v>
      </c>
      <c r="D1" t="s">
        <v>84</v>
      </c>
      <c r="E1" t="s">
        <v>85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O1" t="s">
        <v>295</v>
      </c>
      <c r="P1" t="s">
        <v>296</v>
      </c>
      <c r="Q1" t="s">
        <v>297</v>
      </c>
      <c r="R1" t="s">
        <v>298</v>
      </c>
      <c r="S1" t="s">
        <v>299</v>
      </c>
      <c r="T1" t="s">
        <v>300</v>
      </c>
      <c r="U1" t="s">
        <v>301</v>
      </c>
      <c r="V1" t="s">
        <v>302</v>
      </c>
      <c r="W1" t="s">
        <v>303</v>
      </c>
      <c r="X1" t="s">
        <v>304</v>
      </c>
      <c r="Y1" t="s">
        <v>305</v>
      </c>
      <c r="Z1" t="s">
        <v>306</v>
      </c>
      <c r="AA1" t="s">
        <v>307</v>
      </c>
      <c r="AB1" t="s">
        <v>308</v>
      </c>
      <c r="AC1" t="s">
        <v>309</v>
      </c>
      <c r="AD1" t="s">
        <v>310</v>
      </c>
      <c r="AE1" t="s">
        <v>311</v>
      </c>
      <c r="AF1" t="s">
        <v>312</v>
      </c>
      <c r="AG1" t="s">
        <v>313</v>
      </c>
      <c r="AH1" t="s">
        <v>314</v>
      </c>
      <c r="AI1" t="s">
        <v>315</v>
      </c>
      <c r="AJ1" t="s">
        <v>316</v>
      </c>
      <c r="AK1" t="s">
        <v>317</v>
      </c>
      <c r="AL1" t="s">
        <v>318</v>
      </c>
      <c r="AM1" t="s">
        <v>319</v>
      </c>
      <c r="AN1" t="s">
        <v>320</v>
      </c>
      <c r="AO1" t="s">
        <v>321</v>
      </c>
      <c r="AP1" t="s">
        <v>322</v>
      </c>
      <c r="AQ1" t="s">
        <v>323</v>
      </c>
      <c r="AR1" t="s">
        <v>324</v>
      </c>
      <c r="AS1" t="s">
        <v>325</v>
      </c>
      <c r="AT1" t="s">
        <v>326</v>
      </c>
    </row>
    <row r="2" spans="1:46">
      <c r="A2" t="s">
        <v>157</v>
      </c>
      <c r="B2" t="s">
        <v>157</v>
      </c>
      <c r="C2" t="s">
        <v>169</v>
      </c>
      <c r="D2" t="s">
        <v>174</v>
      </c>
      <c r="E2" t="s">
        <v>179</v>
      </c>
      <c r="F2" t="s">
        <v>184</v>
      </c>
      <c r="G2" t="s">
        <v>189</v>
      </c>
      <c r="H2" t="s">
        <v>194</v>
      </c>
      <c r="I2" t="s">
        <v>199</v>
      </c>
      <c r="J2" t="s">
        <v>204</v>
      </c>
      <c r="K2" t="s">
        <v>209</v>
      </c>
      <c r="L2" t="s">
        <v>214</v>
      </c>
      <c r="M2" t="s">
        <v>219</v>
      </c>
      <c r="O2" t="str">
        <f>'Official Results'!$B$207</f>
        <v>South Africa</v>
      </c>
      <c r="P2" t="str">
        <f>'Official Results'!$B$208</f>
        <v>Brazil</v>
      </c>
      <c r="Q2" t="str">
        <f>'Official Results'!$B$209</f>
        <v>Germany</v>
      </c>
      <c r="R2" t="str">
        <f>'Official Results'!$B$210</f>
        <v>Netherlands</v>
      </c>
      <c r="S2" t="str">
        <f>'Official Results'!$B$211</f>
        <v>Côte d'Ivoire</v>
      </c>
      <c r="T2" t="str">
        <f>'Official Results'!$B$212</f>
        <v>France</v>
      </c>
      <c r="U2" t="str">
        <f>'Official Results'!$B$213</f>
        <v>Mexico</v>
      </c>
      <c r="V2" t="str">
        <f>'Official Results'!$B$214</f>
        <v>England</v>
      </c>
      <c r="W2" t="str">
        <f>'Official Results'!$B$215</f>
        <v>Belgium</v>
      </c>
      <c r="X2" t="str">
        <f>'Official Results'!$B$216</f>
        <v>United States</v>
      </c>
      <c r="Y2" t="str">
        <f>'Official Results'!$B$217</f>
        <v>Spain</v>
      </c>
      <c r="Z2" t="str">
        <f>'Official Results'!$B$218</f>
        <v>Portugal</v>
      </c>
      <c r="AA2" t="str">
        <f>'Official Results'!$B$219</f>
        <v>Switzerland</v>
      </c>
      <c r="AB2" t="str">
        <f>'Official Results'!$B$220</f>
        <v>Australia</v>
      </c>
      <c r="AC2" t="str">
        <f>'Official Results'!$B$221</f>
        <v>Argentina</v>
      </c>
      <c r="AD2" t="str">
        <f>'Official Results'!$B$222</f>
        <v>Colombia</v>
      </c>
      <c r="AE2" t="str">
        <f>'Official Results'!$B$227</f>
        <v>Paraguay</v>
      </c>
      <c r="AF2" t="str">
        <f>'Official Results'!$B$228</f>
        <v>Canada</v>
      </c>
      <c r="AG2" t="str">
        <f>'Official Results'!$B$229</f>
        <v>Portugal</v>
      </c>
      <c r="AH2" t="str">
        <f>'Official Results'!$B$230</f>
        <v>United States</v>
      </c>
      <c r="AI2" t="str">
        <f>'Official Results'!$B$231</f>
        <v>Brazil</v>
      </c>
      <c r="AJ2" t="str">
        <f>'Official Results'!$B$232</f>
        <v>Mexico</v>
      </c>
      <c r="AK2" t="str">
        <f>'Official Results'!$B$233</f>
        <v>Argentina</v>
      </c>
      <c r="AL2" t="str">
        <f>'Official Results'!$B$234</f>
        <v>Switzerland</v>
      </c>
      <c r="AM2" t="str">
        <f>'Official Results'!$B$239</f>
        <v>France</v>
      </c>
      <c r="AN2" t="str">
        <f>'Official Results'!$B$240</f>
        <v/>
      </c>
      <c r="AO2" t="str">
        <f>'Official Results'!$B$241</f>
        <v>Norway</v>
      </c>
      <c r="AP2" t="str">
        <f>'Official Results'!$B$242</f>
        <v/>
      </c>
      <c r="AQ2" t="str">
        <f>'Official Results'!$B$247</f>
        <v/>
      </c>
      <c r="AR2" t="str">
        <f>'Official Results'!$B$248</f>
        <v/>
      </c>
      <c r="AS2" t="str">
        <f>'Official Results'!$B$259</f>
        <v/>
      </c>
      <c r="AT2" t="str">
        <f>'Official Results'!$B$253</f>
        <v/>
      </c>
    </row>
    <row r="3" spans="1:46">
      <c r="A3" t="s">
        <v>158</v>
      </c>
      <c r="B3" t="s">
        <v>158</v>
      </c>
      <c r="C3" t="s">
        <v>170</v>
      </c>
      <c r="D3" t="s">
        <v>175</v>
      </c>
      <c r="E3" t="s">
        <v>180</v>
      </c>
      <c r="F3" t="s">
        <v>185</v>
      </c>
      <c r="G3" t="s">
        <v>190</v>
      </c>
      <c r="H3" t="s">
        <v>195</v>
      </c>
      <c r="I3" t="s">
        <v>200</v>
      </c>
      <c r="J3" t="s">
        <v>205</v>
      </c>
      <c r="K3" t="s">
        <v>210</v>
      </c>
      <c r="L3" t="s">
        <v>215</v>
      </c>
      <c r="M3" t="s">
        <v>220</v>
      </c>
      <c r="O3" t="str">
        <f>'Official Results'!$C$207</f>
        <v>Canada</v>
      </c>
      <c r="P3" t="str">
        <f>'Official Results'!$C$208</f>
        <v>Japan</v>
      </c>
      <c r="Q3" t="str">
        <f>'Official Results'!$C$209</f>
        <v>Paraguay</v>
      </c>
      <c r="R3" t="str">
        <f>'Official Results'!$C$210</f>
        <v>Morocco</v>
      </c>
      <c r="S3" t="str">
        <f>'Official Results'!$C$211</f>
        <v>Norway</v>
      </c>
      <c r="T3" t="str">
        <f>'Official Results'!$C$212</f>
        <v>Sweden</v>
      </c>
      <c r="U3" t="str">
        <f>'Official Results'!$C$213</f>
        <v>Ecuador</v>
      </c>
      <c r="V3" t="str">
        <f>'Official Results'!$C$214</f>
        <v>Congo DR</v>
      </c>
      <c r="W3" t="str">
        <f>'Official Results'!$C$215</f>
        <v>Senegal</v>
      </c>
      <c r="X3" t="str">
        <f>'Official Results'!$C$216</f>
        <v>Bosnia and Herzegovina</v>
      </c>
      <c r="Y3" t="str">
        <f>'Official Results'!$C$217</f>
        <v>Austria</v>
      </c>
      <c r="Z3" t="str">
        <f>'Official Results'!$C$218</f>
        <v>Croatia</v>
      </c>
      <c r="AA3" t="str">
        <f>'Official Results'!$C$219</f>
        <v>Algeria</v>
      </c>
      <c r="AB3" t="str">
        <f>'Official Results'!$C$220</f>
        <v>Egypt</v>
      </c>
      <c r="AC3" t="str">
        <f>'Official Results'!$C$221</f>
        <v>Cabo Verde</v>
      </c>
      <c r="AD3" t="str">
        <f>'Official Results'!$C$222</f>
        <v>Ghana</v>
      </c>
      <c r="AE3" t="str">
        <f>'Official Results'!$C$227</f>
        <v>France</v>
      </c>
      <c r="AF3" t="str">
        <f>'Official Results'!$C$228</f>
        <v>Morocco</v>
      </c>
      <c r="AG3" t="str">
        <f>'Official Results'!$C$229</f>
        <v>Spain</v>
      </c>
      <c r="AH3" t="str">
        <f>'Official Results'!$C$230</f>
        <v>Belgium</v>
      </c>
      <c r="AI3" t="str">
        <f>'Official Results'!$C$231</f>
        <v>Norway</v>
      </c>
      <c r="AJ3" t="str">
        <f>'Official Results'!$C$232</f>
        <v>England</v>
      </c>
      <c r="AK3" t="str">
        <f>'Official Results'!$C$233</f>
        <v>Egypt</v>
      </c>
      <c r="AL3" t="str">
        <f>'Official Results'!$C$234</f>
        <v>Colombia</v>
      </c>
      <c r="AM3" t="str">
        <f>'Official Results'!$C$239</f>
        <v>Morocco</v>
      </c>
      <c r="AN3" t="str">
        <f>'Official Results'!$C$240</f>
        <v/>
      </c>
      <c r="AO3" t="str">
        <f>'Official Results'!$C$241</f>
        <v>England</v>
      </c>
      <c r="AP3" t="str">
        <f>'Official Results'!$C$242</f>
        <v/>
      </c>
      <c r="AQ3" t="str">
        <f>'Official Results'!$C$247</f>
        <v/>
      </c>
      <c r="AR3" t="str">
        <f>'Official Results'!$C$248</f>
        <v/>
      </c>
      <c r="AS3" t="str">
        <f>'Official Results'!$C$259</f>
        <v/>
      </c>
      <c r="AT3" t="str">
        <f>'Official Results'!$C$253</f>
        <v/>
      </c>
    </row>
    <row r="4" spans="1:46">
      <c r="A4" t="s">
        <v>160</v>
      </c>
      <c r="B4" t="s">
        <v>160</v>
      </c>
      <c r="C4" t="s">
        <v>171</v>
      </c>
      <c r="D4" t="s">
        <v>176</v>
      </c>
      <c r="E4" t="s">
        <v>181</v>
      </c>
      <c r="F4" t="s">
        <v>186</v>
      </c>
      <c r="G4" t="s">
        <v>191</v>
      </c>
      <c r="H4" t="s">
        <v>196</v>
      </c>
      <c r="I4" t="s">
        <v>201</v>
      </c>
      <c r="J4" t="s">
        <v>206</v>
      </c>
      <c r="K4" t="s">
        <v>211</v>
      </c>
      <c r="L4" t="s">
        <v>216</v>
      </c>
      <c r="M4" t="s">
        <v>221</v>
      </c>
    </row>
    <row r="5" spans="1:46">
      <c r="A5" t="s">
        <v>161</v>
      </c>
      <c r="B5" t="s">
        <v>161</v>
      </c>
      <c r="C5" t="s">
        <v>172</v>
      </c>
      <c r="D5" t="s">
        <v>177</v>
      </c>
      <c r="E5" t="s">
        <v>182</v>
      </c>
      <c r="F5" t="s">
        <v>187</v>
      </c>
      <c r="G5" t="s">
        <v>192</v>
      </c>
      <c r="H5" t="s">
        <v>197</v>
      </c>
      <c r="I5" t="s">
        <v>202</v>
      </c>
      <c r="J5" t="s">
        <v>207</v>
      </c>
      <c r="K5" t="s">
        <v>212</v>
      </c>
      <c r="L5" t="s">
        <v>217</v>
      </c>
      <c r="M5" t="s">
        <v>222</v>
      </c>
    </row>
    <row r="6" spans="1:46">
      <c r="A6" t="s">
        <v>169</v>
      </c>
    </row>
    <row r="7" spans="1:46">
      <c r="A7" t="s">
        <v>170</v>
      </c>
    </row>
    <row r="8" spans="1:46">
      <c r="A8" t="s">
        <v>171</v>
      </c>
    </row>
    <row r="9" spans="1:46">
      <c r="A9" t="s">
        <v>172</v>
      </c>
    </row>
    <row r="10" spans="1:46">
      <c r="A10" t="s">
        <v>174</v>
      </c>
    </row>
    <row r="11" spans="1:46">
      <c r="A11" t="s">
        <v>175</v>
      </c>
    </row>
    <row r="12" spans="1:46">
      <c r="A12" t="s">
        <v>176</v>
      </c>
    </row>
    <row r="13" spans="1:46">
      <c r="A13" t="s">
        <v>177</v>
      </c>
    </row>
    <row r="14" spans="1:46">
      <c r="A14" t="s">
        <v>179</v>
      </c>
    </row>
    <row r="15" spans="1:46">
      <c r="A15" t="s">
        <v>180</v>
      </c>
    </row>
    <row r="16" spans="1:46">
      <c r="A16" t="s">
        <v>181</v>
      </c>
    </row>
    <row r="17" spans="1:1">
      <c r="A17" t="s">
        <v>182</v>
      </c>
    </row>
    <row r="18" spans="1:1">
      <c r="A18" t="s">
        <v>184</v>
      </c>
    </row>
    <row r="19" spans="1:1">
      <c r="A19" t="s">
        <v>185</v>
      </c>
    </row>
    <row r="20" spans="1:1">
      <c r="A20" t="s">
        <v>186</v>
      </c>
    </row>
    <row r="21" spans="1:1">
      <c r="A21" t="s">
        <v>187</v>
      </c>
    </row>
    <row r="22" spans="1:1">
      <c r="A22" t="s">
        <v>189</v>
      </c>
    </row>
    <row r="23" spans="1:1">
      <c r="A23" t="s">
        <v>190</v>
      </c>
    </row>
    <row r="24" spans="1:1">
      <c r="A24" t="s">
        <v>191</v>
      </c>
    </row>
    <row r="25" spans="1:1">
      <c r="A25" t="s">
        <v>192</v>
      </c>
    </row>
    <row r="26" spans="1:1">
      <c r="A26" t="s">
        <v>194</v>
      </c>
    </row>
    <row r="27" spans="1:1">
      <c r="A27" t="s">
        <v>195</v>
      </c>
    </row>
    <row r="28" spans="1:1">
      <c r="A28" t="s">
        <v>196</v>
      </c>
    </row>
    <row r="29" spans="1:1">
      <c r="A29" t="s">
        <v>197</v>
      </c>
    </row>
    <row r="30" spans="1:1">
      <c r="A30" t="s">
        <v>199</v>
      </c>
    </row>
    <row r="31" spans="1:1">
      <c r="A31" t="s">
        <v>200</v>
      </c>
    </row>
    <row r="32" spans="1:1">
      <c r="A32" t="s">
        <v>201</v>
      </c>
    </row>
    <row r="33" spans="1:1">
      <c r="A33" t="s">
        <v>202</v>
      </c>
    </row>
    <row r="34" spans="1:1">
      <c r="A34" t="s">
        <v>204</v>
      </c>
    </row>
    <row r="35" spans="1:1">
      <c r="A35" t="s">
        <v>205</v>
      </c>
    </row>
    <row r="36" spans="1:1">
      <c r="A36" t="s">
        <v>206</v>
      </c>
    </row>
    <row r="37" spans="1:1">
      <c r="A37" t="s">
        <v>207</v>
      </c>
    </row>
    <row r="38" spans="1:1">
      <c r="A38" t="s">
        <v>209</v>
      </c>
    </row>
    <row r="39" spans="1:1">
      <c r="A39" t="s">
        <v>210</v>
      </c>
    </row>
    <row r="40" spans="1:1">
      <c r="A40" t="s">
        <v>211</v>
      </c>
    </row>
    <row r="41" spans="1:1">
      <c r="A41" t="s">
        <v>212</v>
      </c>
    </row>
    <row r="42" spans="1:1">
      <c r="A42" t="s">
        <v>214</v>
      </c>
    </row>
    <row r="43" spans="1:1">
      <c r="A43" t="s">
        <v>215</v>
      </c>
    </row>
    <row r="44" spans="1:1">
      <c r="A44" t="s">
        <v>216</v>
      </c>
    </row>
    <row r="45" spans="1:1">
      <c r="A45" t="s">
        <v>217</v>
      </c>
    </row>
    <row r="46" spans="1:1">
      <c r="A46" t="s">
        <v>219</v>
      </c>
    </row>
    <row r="47" spans="1:1">
      <c r="A47" t="s">
        <v>220</v>
      </c>
    </row>
    <row r="48" spans="1:1">
      <c r="A48" t="s">
        <v>221</v>
      </c>
    </row>
    <row r="49" spans="1:1">
      <c r="A49" t="s">
        <v>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99"/>
  <sheetViews>
    <sheetView showGridLines="0" topLeftCell="A48" zoomScaleNormal="100" workbookViewId="0">
      <selection activeCell="T55" sqref="T55"/>
    </sheetView>
  </sheetViews>
  <sheetFormatPr defaultColWidth="8.7109375" defaultRowHeight="15" customHeight="1"/>
  <cols>
    <col min="1" max="1" width="13.42578125" bestFit="1" customWidth="1"/>
    <col min="2" max="2" width="10.5703125" bestFit="1" customWidth="1"/>
    <col min="3" max="3" width="11.42578125" bestFit="1" customWidth="1"/>
    <col min="4" max="4" width="14" customWidth="1"/>
    <col min="5" max="5" width="8.7109375" bestFit="1" customWidth="1"/>
    <col min="6" max="6" width="24.5703125" bestFit="1" customWidth="1"/>
    <col min="7" max="7" width="23" bestFit="1" customWidth="1"/>
    <col min="8" max="8" width="11.7109375" bestFit="1" customWidth="1"/>
    <col min="9" max="9" width="8.7109375" bestFit="1" customWidth="1"/>
    <col min="10" max="10" width="22.42578125" bestFit="1" customWidth="1"/>
    <col min="11" max="12" width="12" customWidth="1"/>
    <col min="14" max="14" width="5.7109375" bestFit="1" customWidth="1"/>
    <col min="15" max="15" width="23" bestFit="1" customWidth="1"/>
    <col min="16" max="16" width="6.85546875" bestFit="1" customWidth="1"/>
  </cols>
  <sheetData>
    <row r="1" spans="1:16" ht="15" customHeight="1">
      <c r="A1" s="172" t="s">
        <v>327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4"/>
    </row>
    <row r="2" spans="1:16" ht="15" customHeight="1">
      <c r="A2" s="175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7"/>
    </row>
    <row r="3" spans="1:16" ht="15" customHeight="1">
      <c r="A3" s="196" t="s">
        <v>328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</row>
    <row r="4" spans="1:16" ht="15" customHeight="1">
      <c r="A4" s="198" t="s">
        <v>329</v>
      </c>
      <c r="B4" s="199"/>
      <c r="C4" s="200"/>
      <c r="D4" s="178" t="s">
        <v>330</v>
      </c>
      <c r="E4" s="179"/>
      <c r="F4" s="180"/>
      <c r="G4" s="181" t="s">
        <v>331</v>
      </c>
      <c r="H4" s="182"/>
      <c r="I4" s="183"/>
      <c r="J4" s="193" t="s">
        <v>332</v>
      </c>
      <c r="K4" s="194"/>
      <c r="L4" s="195"/>
    </row>
    <row r="5" spans="1:16" ht="15" customHeight="1">
      <c r="A5" s="201" t="str">
        <f>INDEX($J$11:$J$58,MATCH(MAX($K$11:$K$58),$K$11:$K$58,0))</f>
        <v>Mexico</v>
      </c>
      <c r="B5" s="202"/>
      <c r="C5" s="203"/>
      <c r="D5" s="184" t="str">
        <f>INDEX($J$11:$J$58,MATCH(MAX($L$11:$L$58),$L$11:$L$58,0))</f>
        <v>Mexico</v>
      </c>
      <c r="E5" s="185"/>
      <c r="F5" s="186"/>
      <c r="G5" s="212">
        <f>MAX(Leaderboard!$G$6:$G$25)</f>
        <v>153</v>
      </c>
      <c r="H5" s="213"/>
      <c r="I5" s="214"/>
      <c r="J5" s="221">
        <f>AVERAGE('Group Stage Predictions'!$BM$6:$BM$25,'Round of 32 Predictions'!$T$6:$T$25,'Round of 16 Predictions'!$L$6:$L$25,'Quarter-finals Predictions'!$H$6:$H$25,'Semi-finals Predictions'!$F$6:$F$25,'Final Predictions'!$G$6:$G$25)</f>
        <v>0.21666666666666667</v>
      </c>
      <c r="K5" s="222"/>
      <c r="L5" s="223"/>
    </row>
    <row r="6" spans="1:16" ht="15" customHeight="1">
      <c r="A6" s="204"/>
      <c r="B6" s="205"/>
      <c r="C6" s="206"/>
      <c r="D6" s="187"/>
      <c r="E6" s="188"/>
      <c r="F6" s="189"/>
      <c r="G6" s="215"/>
      <c r="H6" s="216"/>
      <c r="I6" s="217"/>
      <c r="J6" s="224"/>
      <c r="K6" s="225"/>
      <c r="L6" s="226"/>
    </row>
    <row r="7" spans="1:16" ht="15" customHeight="1">
      <c r="A7" s="207"/>
      <c r="B7" s="208"/>
      <c r="C7" s="209"/>
      <c r="D7" s="190"/>
      <c r="E7" s="191"/>
      <c r="F7" s="192"/>
      <c r="G7" s="218"/>
      <c r="H7" s="219"/>
      <c r="I7" s="220"/>
      <c r="J7" s="227"/>
      <c r="K7" s="228"/>
      <c r="L7" s="229"/>
    </row>
    <row r="10" spans="1:16" ht="37.5" customHeight="1">
      <c r="A10" s="112" t="s">
        <v>333</v>
      </c>
      <c r="B10" s="111" t="s">
        <v>334</v>
      </c>
      <c r="C10" s="111" t="s">
        <v>335</v>
      </c>
      <c r="D10" s="110" t="s">
        <v>336</v>
      </c>
      <c r="F10" s="108" t="s">
        <v>337</v>
      </c>
      <c r="G10" s="109" t="s">
        <v>292</v>
      </c>
      <c r="J10" s="28" t="s">
        <v>88</v>
      </c>
      <c r="K10" s="29" t="s">
        <v>338</v>
      </c>
      <c r="L10" s="30" t="s">
        <v>339</v>
      </c>
      <c r="N10" s="230" t="s">
        <v>340</v>
      </c>
      <c r="O10" s="230"/>
      <c r="P10" s="230"/>
    </row>
    <row r="11" spans="1:16" ht="18" customHeight="1">
      <c r="A11" s="115" t="s">
        <v>341</v>
      </c>
      <c r="B11" s="156">
        <f>SUM('Group Stage Predictions'!$BK$6:$BK$25)/20</f>
        <v>33.65</v>
      </c>
      <c r="C11" s="156">
        <f>SUM('Group Stage Predictions'!$BL$6:$BL$25)/20</f>
        <v>6.8</v>
      </c>
      <c r="D11" s="157">
        <f>SUM('Group Stage Predictions'!$BM$6:$BM$25)/20</f>
        <v>0.35</v>
      </c>
      <c r="F11" s="115" t="str">
        <f>INDEX(Leaderboard!$B$6:$B$25,MATCH(LARGE(Leaderboard!$I$6:$I$25,1),Leaderboard!$I$6:$I$25,0))</f>
        <v>Muhammad Naufal Aiman</v>
      </c>
      <c r="G11" s="116">
        <f>INDEX(Leaderboard!$G$6:$G$25,MATCH(LARGE(Leaderboard!$I$6:$I$25,1),Leaderboard!$I$6:$I$25,0))</f>
        <v>153</v>
      </c>
      <c r="H11" s="117"/>
      <c r="J11" s="147" t="str">
        <f>'Instructions &amp; Rules'!M4</f>
        <v>Mexico</v>
      </c>
      <c r="K11" s="148">
        <f>COUNTIF('Final Predictions'!$B$6:$B$25,J11)</f>
        <v>0</v>
      </c>
      <c r="L11" s="149">
        <f>COUNTIF('Final Predictions'!$B$6:$B$25,J11)+COUNTIF('Final Predictions'!$C$6:$C$25,J11)</f>
        <v>0</v>
      </c>
      <c r="N11" s="114" t="s">
        <v>228</v>
      </c>
      <c r="O11" s="114" t="s">
        <v>267</v>
      </c>
      <c r="P11" s="114" t="s">
        <v>2</v>
      </c>
    </row>
    <row r="12" spans="1:16" ht="18" customHeight="1">
      <c r="A12" s="118" t="s">
        <v>103</v>
      </c>
      <c r="B12" s="158">
        <f>SUM('Round of 32 Predictions'!$R$6:$R$25)/20</f>
        <v>11.8</v>
      </c>
      <c r="C12" s="158">
        <f>SUM('Round of 32 Predictions'!$S$6:$S$25)/20</f>
        <v>5.9</v>
      </c>
      <c r="D12" s="159">
        <f>SUM('Round of 32 Predictions'!$T$6:$T$25)/20</f>
        <v>0.45</v>
      </c>
      <c r="F12" s="118" t="str">
        <f>INDEX(Leaderboard!$B$6:$B$25,MATCH(LARGE(Leaderboard!$I$6:$I$25,2),Leaderboard!$I$6:$I$25,0))</f>
        <v>Aldy</v>
      </c>
      <c r="G12" s="119">
        <f>INDEX(Leaderboard!$G$6:$G$25,MATCH(LARGE(Leaderboard!$I$6:$I$25,2),Leaderboard!$I$6:$I$25,0))</f>
        <v>144</v>
      </c>
      <c r="H12" s="117"/>
      <c r="J12" s="150" t="str">
        <f>'Instructions &amp; Rules'!M5</f>
        <v>South Africa</v>
      </c>
      <c r="K12" s="151">
        <f>COUNTIF('Final Predictions'!$B$6:$B$25,J12)</f>
        <v>0</v>
      </c>
      <c r="L12" s="152">
        <f>COUNTIF('Final Predictions'!$B$6:$B$25,J12)+COUNTIF('Final Predictions'!$C$6:$C$25,J12)</f>
        <v>0</v>
      </c>
      <c r="N12" s="129">
        <v>1</v>
      </c>
      <c r="O12" s="130" t="str" cm="1">
        <f t="array" ref="O12:P12">IFERROR(INDEX(_xlfn.SORTBY(_xlfn._xlws.FILTER(CHOOSE({1,2},'Group Stage Predictions'!$A$6:$A$25,'Group Stage Predictions'!$BK$6:$BK$25),'Group Stage Predictions'!$A$6:$A$25&lt;&gt;""),_xlfn._xlws.FILTER('Group Stage Predictions'!$BK$6:$BK$25,'Group Stage Predictions'!$A$6:$A$25&lt;&gt;""),-1,_xlfn.SEQUENCE(ROWS(_xlfn._xlws.FILTER('Group Stage Predictions'!$A$6:$A$25,'Group Stage Predictions'!$A$6:$A$25&lt;&gt;""))),1),1,{1,2}),"")</f>
        <v>Muhammad Naufal Aiman</v>
      </c>
      <c r="P12" s="131">
        <v>113</v>
      </c>
    </row>
    <row r="13" spans="1:16" ht="18" customHeight="1">
      <c r="A13" s="118" t="s">
        <v>104</v>
      </c>
      <c r="B13" s="158">
        <f>SUM('Round of 16 Predictions'!$J$6:$J$25)/20</f>
        <v>5.8</v>
      </c>
      <c r="C13" s="158">
        <f>SUM('Round of 16 Predictions'!$K$6:$K$25)/20</f>
        <v>1.45</v>
      </c>
      <c r="D13" s="159">
        <f>SUM('Round of 16 Predictions'!$L$6:$L$25)/20</f>
        <v>0.5</v>
      </c>
      <c r="F13" s="118" t="str">
        <f>INDEX(Leaderboard!$B$6:$B$25,MATCH(LARGE(Leaderboard!$I$6:$I$25,3),Leaderboard!$I$6:$I$25,0))</f>
        <v>Febby Yudhi Pratama</v>
      </c>
      <c r="G13" s="119">
        <f>INDEX(Leaderboard!$G$6:$G$25,MATCH(LARGE(Leaderboard!$I$6:$I$25,3),Leaderboard!$I$6:$I$25,0))</f>
        <v>143</v>
      </c>
      <c r="H13" s="117"/>
      <c r="J13" s="150" t="str">
        <f>'Instructions &amp; Rules'!M6</f>
        <v>Korea Republic</v>
      </c>
      <c r="K13" s="151">
        <f>COUNTIF('Final Predictions'!$B$6:$B$25,J13)</f>
        <v>0</v>
      </c>
      <c r="L13" s="152">
        <f>COUNTIF('Final Predictions'!$B$6:$B$25,J13)+COUNTIF('Final Predictions'!$C$6:$C$25,J13)</f>
        <v>0</v>
      </c>
      <c r="N13" s="132">
        <v>2</v>
      </c>
      <c r="O13" s="133" t="str" cm="1">
        <f t="array" ref="O13:P13">IFERROR(INDEX(_xlfn.SORTBY(_xlfn._xlws.FILTER(CHOOSE({1,2},'Group Stage Predictions'!$A$6:$A$25,'Group Stage Predictions'!$BK$6:$BK$25),'Group Stage Predictions'!$A$6:$A$25&lt;&gt;""),_xlfn._xlws.FILTER('Group Stage Predictions'!$BK$6:$BK$25,'Group Stage Predictions'!$A$6:$A$25&lt;&gt;""),-1,_xlfn.SEQUENCE(ROWS(_xlfn._xlws.FILTER('Group Stage Predictions'!$A$6:$A$25,'Group Stage Predictions'!$A$6:$A$25&lt;&gt;""))),1),2,{1,2}),"")</f>
        <v>Aldy</v>
      </c>
      <c r="P13" s="134">
        <v>108</v>
      </c>
    </row>
    <row r="14" spans="1:16" ht="18" customHeight="1">
      <c r="A14" s="118" t="s">
        <v>105</v>
      </c>
      <c r="B14" s="158">
        <f>SUM('Quarter-finals Predictions'!$F$6:$F$25)/20</f>
        <v>0</v>
      </c>
      <c r="C14" s="158">
        <f>SUM('Quarter-finals Predictions'!$G$6:$G$25)/20</f>
        <v>0</v>
      </c>
      <c r="D14" s="159">
        <f>SUM('Quarter-finals Predictions'!$H$6:$H$25)/20</f>
        <v>0</v>
      </c>
      <c r="F14" s="118" t="str">
        <f>INDEX(Leaderboard!$B$6:$B$25,MATCH(LARGE(Leaderboard!$I$6:$I$25,4),Leaderboard!$I$6:$I$25,0))</f>
        <v>Fathan Mauludin</v>
      </c>
      <c r="G14" s="119">
        <f>INDEX(Leaderboard!$G$6:$G$25,MATCH(LARGE(Leaderboard!$I$6:$I$25,4),Leaderboard!$I$6:$I$25,0))</f>
        <v>132</v>
      </c>
      <c r="H14" s="117"/>
      <c r="J14" s="150" t="str">
        <f>'Instructions &amp; Rules'!M7</f>
        <v>Czechia</v>
      </c>
      <c r="K14" s="151">
        <f>COUNTIF('Final Predictions'!$B$6:$B$25,J14)</f>
        <v>0</v>
      </c>
      <c r="L14" s="152">
        <f>COUNTIF('Final Predictions'!$B$6:$B$25,J14)+COUNTIF('Final Predictions'!$C$6:$C$25,J14)</f>
        <v>0</v>
      </c>
      <c r="N14" s="129">
        <v>3</v>
      </c>
      <c r="O14" s="130" t="str" cm="1">
        <f t="array" ref="O14:P14">IFERROR(INDEX(_xlfn.SORTBY(_xlfn._xlws.FILTER(CHOOSE({1,2},'Group Stage Predictions'!$A$6:$A$25,'Group Stage Predictions'!$BK$6:$BK$25),'Group Stage Predictions'!$A$6:$A$25&lt;&gt;""),_xlfn._xlws.FILTER('Group Stage Predictions'!$BK$6:$BK$25,'Group Stage Predictions'!$A$6:$A$25&lt;&gt;""),-1,_xlfn.SEQUENCE(ROWS(_xlfn._xlws.FILTER('Group Stage Predictions'!$A$6:$A$25,'Group Stage Predictions'!$A$6:$A$25&lt;&gt;""))),1),3,{1,2}),"")</f>
        <v>Febby Yudhi Pratama</v>
      </c>
      <c r="P14" s="131">
        <v>105</v>
      </c>
    </row>
    <row r="15" spans="1:16" ht="18" customHeight="1">
      <c r="A15" s="118" t="s">
        <v>106</v>
      </c>
      <c r="B15" s="158">
        <f>SUM('Semi-finals Predictions'!$D$6:$D$25)/20</f>
        <v>0</v>
      </c>
      <c r="C15" s="158">
        <f>SUM('Semi-finals Predictions'!$E$6:$E$25)/20</f>
        <v>0</v>
      </c>
      <c r="D15" s="159">
        <f>SUM('Semi-finals Predictions'!$F$6:$F$25)/20</f>
        <v>0</v>
      </c>
      <c r="F15" s="118" t="str">
        <f>INDEX(Leaderboard!$B$6:$B$25,MATCH(LARGE(Leaderboard!$I$6:$I$25,5),Leaderboard!$I$6:$I$25,0))</f>
        <v>Affaninho</v>
      </c>
      <c r="G15" s="119">
        <f>INDEX(Leaderboard!$G$6:$G$25,MATCH(LARGE(Leaderboard!$I$6:$I$25,5),Leaderboard!$I$6:$I$25,0))</f>
        <v>126</v>
      </c>
      <c r="H15" s="117"/>
      <c r="J15" s="150" t="str">
        <f>'Instructions &amp; Rules'!M8</f>
        <v>Switzerland</v>
      </c>
      <c r="K15" s="151">
        <f>COUNTIF('Final Predictions'!$B$6:$B$25,J15)</f>
        <v>0</v>
      </c>
      <c r="L15" s="152">
        <f>COUNTIF('Final Predictions'!$B$6:$B$25,J15)+COUNTIF('Final Predictions'!$C$6:$C$25,J15)</f>
        <v>0</v>
      </c>
      <c r="N15" s="132">
        <v>4</v>
      </c>
      <c r="O15" s="133" t="str" cm="1">
        <f t="array" ref="O15:P15">IFERROR(INDEX(_xlfn.SORTBY(_xlfn._xlws.FILTER(CHOOSE({1,2},'Group Stage Predictions'!$A$6:$A$25,'Group Stage Predictions'!$BK$6:$BK$25),'Group Stage Predictions'!$A$6:$A$25&lt;&gt;""),_xlfn._xlws.FILTER('Group Stage Predictions'!$BK$6:$BK$25,'Group Stage Predictions'!$A$6:$A$25&lt;&gt;""),-1,_xlfn.SEQUENCE(ROWS(_xlfn._xlws.FILTER('Group Stage Predictions'!$A$6:$A$25,'Group Stage Predictions'!$A$6:$A$25&lt;&gt;""))),1),4,{1,2}),"")</f>
        <v>Fathan Mauludin</v>
      </c>
      <c r="P15" s="134">
        <v>94</v>
      </c>
    </row>
    <row r="16" spans="1:16" ht="18" customHeight="1">
      <c r="A16" s="120" t="s">
        <v>108</v>
      </c>
      <c r="B16" s="160">
        <f>SUM('Final Predictions'!$E$6:$E$25)/20</f>
        <v>0</v>
      </c>
      <c r="C16" s="160">
        <f>SUM('Final Predictions'!$F$6:$F$25)/20</f>
        <v>0</v>
      </c>
      <c r="D16" s="161">
        <f>SUM('Final Predictions'!$G$6:$G$25)/20</f>
        <v>0</v>
      </c>
      <c r="F16" s="118" t="str">
        <f>INDEX(Leaderboard!$B$6:$B$25,MATCH(LARGE(Leaderboard!$I$6:$I$25,6),Leaderboard!$I$6:$I$25,0))</f>
        <v>M Fakhri Auladana</v>
      </c>
      <c r="G16" s="119">
        <f>INDEX(Leaderboard!$G$6:$G$25,MATCH(LARGE(Leaderboard!$I$6:$I$25,6),Leaderboard!$I$6:$I$25,0))</f>
        <v>125</v>
      </c>
      <c r="H16" s="117"/>
      <c r="J16" s="150" t="str">
        <f>'Instructions &amp; Rules'!M9</f>
        <v>Canada</v>
      </c>
      <c r="K16" s="151">
        <f>COUNTIF('Final Predictions'!$B$6:$B$25,J16)</f>
        <v>0</v>
      </c>
      <c r="L16" s="152">
        <f>COUNTIF('Final Predictions'!$B$6:$B$25,J16)+COUNTIF('Final Predictions'!$C$6:$C$25,J16)</f>
        <v>0</v>
      </c>
      <c r="N16" s="129">
        <v>5</v>
      </c>
      <c r="O16" s="130" t="str" cm="1">
        <f t="array" ref="O16:P16">IFERROR(INDEX(_xlfn.SORTBY(_xlfn._xlws.FILTER(CHOOSE({1,2},'Group Stage Predictions'!$A$6:$A$25,'Group Stage Predictions'!$BK$6:$BK$25),'Group Stage Predictions'!$A$6:$A$25&lt;&gt;""),_xlfn._xlws.FILTER('Group Stage Predictions'!$BK$6:$BK$25,'Group Stage Predictions'!$A$6:$A$25&lt;&gt;""),-1,_xlfn.SEQUENCE(ROWS(_xlfn._xlws.FILTER('Group Stage Predictions'!$A$6:$A$25,'Group Stage Predictions'!$A$6:$A$25&lt;&gt;""))),1),5,{1,2}),"")</f>
        <v>M Fakhri Auladana</v>
      </c>
      <c r="P16" s="131">
        <v>85</v>
      </c>
    </row>
    <row r="17" spans="6:16" ht="18" customHeight="1">
      <c r="F17" s="118" t="str">
        <f>INDEX(Leaderboard!$B$6:$B$25,MATCH(LARGE(Leaderboard!$I$6:$I$25,7),Leaderboard!$I$6:$I$25,0))</f>
        <v>Ahade</v>
      </c>
      <c r="G17" s="119">
        <f>INDEX(Leaderboard!$G$6:$G$25,MATCH(LARGE(Leaderboard!$I$6:$I$25,7),Leaderboard!$I$6:$I$25,0))</f>
        <v>122</v>
      </c>
      <c r="H17" s="117"/>
      <c r="J17" s="150" t="str">
        <f>'Instructions &amp; Rules'!M10</f>
        <v>Bosnia and Herzegovina</v>
      </c>
      <c r="K17" s="151">
        <f>COUNTIF('Final Predictions'!$B$6:$B$25,J17)</f>
        <v>0</v>
      </c>
      <c r="L17" s="152">
        <f>COUNTIF('Final Predictions'!$B$6:$B$25,J17)+COUNTIF('Final Predictions'!$C$6:$C$25,J17)</f>
        <v>0</v>
      </c>
      <c r="N17" s="132">
        <v>6</v>
      </c>
      <c r="O17" s="133" t="str" cm="1">
        <f t="array" ref="O17:P17">IFERROR(INDEX(_xlfn.SORTBY(_xlfn._xlws.FILTER(CHOOSE({1,2},'Group Stage Predictions'!$A$6:$A$25,'Group Stage Predictions'!$BK$6:$BK$25),'Group Stage Predictions'!$A$6:$A$25&lt;&gt;""),_xlfn._xlws.FILTER('Group Stage Predictions'!$BK$6:$BK$25,'Group Stage Predictions'!$A$6:$A$25&lt;&gt;""),-1,_xlfn.SEQUENCE(ROWS(_xlfn._xlws.FILTER('Group Stage Predictions'!$A$6:$A$25,'Group Stage Predictions'!$A$6:$A$25&lt;&gt;""))),1),6,{1,2}),"")</f>
        <v>Ahade</v>
      </c>
      <c r="P17" s="134">
        <v>84</v>
      </c>
    </row>
    <row r="18" spans="6:16" ht="18" customHeight="1">
      <c r="F18" s="118" t="str">
        <f>INDEX(Leaderboard!$B$6:$B$25,MATCH(LARGE(Leaderboard!$I$6:$I$25,8),Leaderboard!$I$6:$I$25,0))</f>
        <v>Dausman</v>
      </c>
      <c r="G18" s="119">
        <f>INDEX(Leaderboard!$G$6:$G$25,MATCH(LARGE(Leaderboard!$I$6:$I$25,8),Leaderboard!$I$6:$I$25,0))</f>
        <v>38</v>
      </c>
      <c r="H18" s="117"/>
      <c r="J18" s="150" t="str">
        <f>'Instructions &amp; Rules'!M11</f>
        <v>Qatar</v>
      </c>
      <c r="K18" s="151">
        <f>COUNTIF('Final Predictions'!$B$6:$B$25,J18)</f>
        <v>0</v>
      </c>
      <c r="L18" s="152">
        <f>COUNTIF('Final Predictions'!$B$6:$B$25,J18)+COUNTIF('Final Predictions'!$C$6:$C$25,J18)</f>
        <v>0</v>
      </c>
      <c r="N18" s="129">
        <v>7</v>
      </c>
      <c r="O18" s="130" t="str" cm="1">
        <f t="array" ref="O18:P18">IFERROR(INDEX(_xlfn.SORTBY(_xlfn._xlws.FILTER(CHOOSE({1,2},'Group Stage Predictions'!$A$6:$A$25,'Group Stage Predictions'!$BK$6:$BK$25),'Group Stage Predictions'!$A$6:$A$25&lt;&gt;""),_xlfn._xlws.FILTER('Group Stage Predictions'!$BK$6:$BK$25,'Group Stage Predictions'!$A$6:$A$25&lt;&gt;""),-1,_xlfn.SEQUENCE(ROWS(_xlfn._xlws.FILTER('Group Stage Predictions'!$A$6:$A$25,'Group Stage Predictions'!$A$6:$A$25&lt;&gt;""))),1),7,{1,2}),"")</f>
        <v>Affaninho</v>
      </c>
      <c r="P18" s="131">
        <v>84</v>
      </c>
    </row>
    <row r="19" spans="6:16" ht="18" customHeight="1">
      <c r="F19" s="118" t="str">
        <f>INDEX(Leaderboard!$B$6:$B$25,MATCH(LARGE(Leaderboard!$I$6:$I$25,9),Leaderboard!$I$6:$I$25,0))</f>
        <v>Aji</v>
      </c>
      <c r="G19" s="119">
        <f>INDEX(Leaderboard!$G$6:$G$25,MATCH(LARGE(Leaderboard!$I$6:$I$25,9),Leaderboard!$I$6:$I$25,0))</f>
        <v>30</v>
      </c>
      <c r="H19" s="117"/>
      <c r="J19" s="150" t="str">
        <f>'Instructions &amp; Rules'!M12</f>
        <v>Brazil</v>
      </c>
      <c r="K19" s="151">
        <f>COUNTIF('Final Predictions'!$B$6:$B$25,J19)</f>
        <v>0</v>
      </c>
      <c r="L19" s="152">
        <f>COUNTIF('Final Predictions'!$B$6:$B$25,J19)+COUNTIF('Final Predictions'!$C$6:$C$25,J19)</f>
        <v>0</v>
      </c>
      <c r="N19" s="132">
        <v>8</v>
      </c>
      <c r="O19" s="133" t="str" cm="1">
        <f t="array" ref="O19:P19">IFERROR(INDEX(_xlfn.SORTBY(_xlfn._xlws.FILTER(CHOOSE({1,2},'Group Stage Predictions'!$A$6:$A$25,'Group Stage Predictions'!$BK$6:$BK$25),'Group Stage Predictions'!$A$6:$A$25&lt;&gt;""),_xlfn._xlws.FILTER('Group Stage Predictions'!$BK$6:$BK$25,'Group Stage Predictions'!$A$6:$A$25&lt;&gt;""),-1,_xlfn.SEQUENCE(ROWS(_xlfn._xlws.FILTER('Group Stage Predictions'!$A$6:$A$25,'Group Stage Predictions'!$A$6:$A$25&lt;&gt;""))),1),8,{1,2}),"")</f>
        <v>Aji</v>
      </c>
      <c r="P19" s="134">
        <v>0</v>
      </c>
    </row>
    <row r="20" spans="6:16" ht="18" customHeight="1">
      <c r="F20" s="120" t="str">
        <f>INDEX(Leaderboard!$B$6:$B$25,MATCH(LARGE(Leaderboard!$I$6:$I$25,10),Leaderboard!$I$6:$I$25,0))</f>
        <v>Wawa</v>
      </c>
      <c r="G20" s="121">
        <f>INDEX(Leaderboard!$G$6:$G$25,MATCH(LARGE(Leaderboard!$I$6:$I$25,10),Leaderboard!$I$6:$I$25,0))</f>
        <v>12</v>
      </c>
      <c r="H20" s="117"/>
      <c r="J20" s="150" t="str">
        <f>'Instructions &amp; Rules'!M13</f>
        <v>Morocco</v>
      </c>
      <c r="K20" s="151">
        <f>COUNTIF('Final Predictions'!$B$6:$B$25,J20)</f>
        <v>0</v>
      </c>
      <c r="L20" s="152">
        <f>COUNTIF('Final Predictions'!$B$6:$B$25,J20)+COUNTIF('Final Predictions'!$C$6:$C$25,J20)</f>
        <v>0</v>
      </c>
      <c r="N20" s="129">
        <v>9</v>
      </c>
      <c r="O20" s="130" t="str" cm="1">
        <f t="array" ref="O20:P20">IFERROR(INDEX(_xlfn.SORTBY(_xlfn._xlws.FILTER(CHOOSE({1,2},'Group Stage Predictions'!$A$6:$A$25,'Group Stage Predictions'!$BK$6:$BK$25),'Group Stage Predictions'!$A$6:$A$25&lt;&gt;""),_xlfn._xlws.FILTER('Group Stage Predictions'!$BK$6:$BK$25,'Group Stage Predictions'!$A$6:$A$25&lt;&gt;""),-1,_xlfn.SEQUENCE(ROWS(_xlfn._xlws.FILTER('Group Stage Predictions'!$A$6:$A$25,'Group Stage Predictions'!$A$6:$A$25&lt;&gt;""))),1),9,{1,2}),"")</f>
        <v>Dausman</v>
      </c>
      <c r="P20" s="131">
        <v>0</v>
      </c>
    </row>
    <row r="21" spans="6:16" ht="18" customHeight="1">
      <c r="F21" s="117"/>
      <c r="G21" s="117"/>
      <c r="H21" s="117"/>
      <c r="J21" s="150" t="str">
        <f>'Instructions &amp; Rules'!M14</f>
        <v>Scotland</v>
      </c>
      <c r="K21" s="151">
        <f>COUNTIF('Final Predictions'!$B$6:$B$25,J21)</f>
        <v>0</v>
      </c>
      <c r="L21" s="152">
        <f>COUNTIF('Final Predictions'!$B$6:$B$25,J21)+COUNTIF('Final Predictions'!$C$6:$C$25,J21)</f>
        <v>0</v>
      </c>
      <c r="N21" s="132">
        <v>10</v>
      </c>
      <c r="O21" s="133" t="str" cm="1">
        <f t="array" ref="O21:P21">IFERROR(INDEX(_xlfn.SORTBY(_xlfn._xlws.FILTER(CHOOSE({1,2},'Group Stage Predictions'!$A$6:$A$25,'Group Stage Predictions'!$BK$6:$BK$25),'Group Stage Predictions'!$A$6:$A$25&lt;&gt;""),_xlfn._xlws.FILTER('Group Stage Predictions'!$BK$6:$BK$25,'Group Stage Predictions'!$A$6:$A$25&lt;&gt;""),-1,_xlfn.SEQUENCE(ROWS(_xlfn._xlws.FILTER('Group Stage Predictions'!$A$6:$A$25,'Group Stage Predictions'!$A$6:$A$25&lt;&gt;""))),1),10,{1,2}),"")</f>
        <v>Wawa</v>
      </c>
      <c r="P21" s="134">
        <v>0</v>
      </c>
    </row>
    <row r="22" spans="6:16" ht="18" customHeight="1">
      <c r="F22" s="117"/>
      <c r="G22" s="117"/>
      <c r="H22" s="117"/>
      <c r="J22" s="150" t="str">
        <f>'Instructions &amp; Rules'!M15</f>
        <v>Haiti</v>
      </c>
      <c r="K22" s="151">
        <f>COUNTIF('Final Predictions'!$B$6:$B$25,J22)</f>
        <v>0</v>
      </c>
      <c r="L22" s="152">
        <f>COUNTIF('Final Predictions'!$B$6:$B$25,J22)+COUNTIF('Final Predictions'!$C$6:$C$25,J22)</f>
        <v>0</v>
      </c>
      <c r="N22" s="135"/>
      <c r="O22" s="135"/>
      <c r="P22" s="135"/>
    </row>
    <row r="23" spans="6:16" ht="18" customHeight="1">
      <c r="F23" s="211" t="s">
        <v>342</v>
      </c>
      <c r="G23" s="211"/>
      <c r="H23" s="211"/>
      <c r="J23" s="150" t="str">
        <f>'Instructions &amp; Rules'!M16</f>
        <v>United States</v>
      </c>
      <c r="K23" s="151">
        <f>COUNTIF('Final Predictions'!$B$6:$B$25,J23)</f>
        <v>0</v>
      </c>
      <c r="L23" s="152">
        <f>COUNTIF('Final Predictions'!$B$6:$B$25,J23)+COUNTIF('Final Predictions'!$C$6:$C$25,J23)</f>
        <v>0</v>
      </c>
      <c r="N23" s="231" t="s">
        <v>343</v>
      </c>
      <c r="O23" s="231"/>
      <c r="P23" s="231"/>
    </row>
    <row r="24" spans="6:16" ht="18" customHeight="1">
      <c r="F24" s="122" t="s">
        <v>228</v>
      </c>
      <c r="G24" s="122" t="s">
        <v>267</v>
      </c>
      <c r="H24" s="122" t="s">
        <v>292</v>
      </c>
      <c r="J24" s="150" t="str">
        <f>'Instructions &amp; Rules'!M17</f>
        <v>Australia</v>
      </c>
      <c r="K24" s="151">
        <f>COUNTIF('Final Predictions'!$B$6:$B$25,J24)</f>
        <v>0</v>
      </c>
      <c r="L24" s="152">
        <f>COUNTIF('Final Predictions'!$B$6:$B$25,J24)+COUNTIF('Final Predictions'!$C$6:$C$25,J24)</f>
        <v>0</v>
      </c>
      <c r="N24" s="136" t="s">
        <v>228</v>
      </c>
      <c r="O24" s="136" t="s">
        <v>267</v>
      </c>
      <c r="P24" s="136" t="s">
        <v>2</v>
      </c>
    </row>
    <row r="25" spans="6:16" ht="18" customHeight="1">
      <c r="F25" s="123">
        <v>1</v>
      </c>
      <c r="G25" s="124" t="str" cm="1">
        <f t="array" ref="G25:H25">IFERROR(INDEX(_xlfn.SORTBY(_xlfn._xlws.FILTER(CHOOSE({1,2},Leaderboard!$B$6:$B$25,Leaderboard!$G$6:$G$25),Leaderboard!$B$6:$B$25&lt;&gt;""),_xlfn._xlws.FILTER(Leaderboard!$G$6:$G$25,Leaderboard!$B$6:$B$25&lt;&gt;""),-1,_xlfn._xlws.FILTER(Leaderboard!$B$6:$B$25,Leaderboard!$B$6:$B$25&lt;&gt;""),1),1,{1,2}),"")</f>
        <v>Muhammad Naufal Aiman</v>
      </c>
      <c r="H25" s="125">
        <v>153</v>
      </c>
      <c r="J25" s="150" t="str">
        <f>'Instructions &amp; Rules'!M18</f>
        <v>Paraguay</v>
      </c>
      <c r="K25" s="151">
        <f>COUNTIF('Final Predictions'!$B$6:$B$25,J25)</f>
        <v>0</v>
      </c>
      <c r="L25" s="152">
        <f>COUNTIF('Final Predictions'!$B$6:$B$25,J25)+COUNTIF('Final Predictions'!$C$6:$C$25,J25)</f>
        <v>0</v>
      </c>
      <c r="N25" s="137">
        <v>1</v>
      </c>
      <c r="O25" s="138" t="str" cm="1">
        <f t="array" ref="O25:P25">IFERROR(INDEX(_xlfn.SORTBY(_xlfn._xlws.FILTER(CHOOSE({1,2},'Round of 32 Predictions'!$A$6:$A$25,'Round of 32 Predictions'!$R$6:$R$25+'Round of 16 Predictions'!$J$6:$J$25+'Quarter-finals Predictions'!$F$6:$F$25+'Semi-finals Predictions'!$D$6:$D$25+'Final Predictions'!$E$6:$E$25),'Round of 32 Predictions'!$A$6:$A$25&lt;&gt;""),_xlfn._xlws.FILTER('Round of 32 Predictions'!$R$6:$R$25+'Round of 16 Predictions'!$J$6:$J$25+'Quarter-finals Predictions'!$F$6:$F$25+'Semi-finals Predictions'!$D$6:$D$25+'Final Predictions'!$E$6:$E$25,'Round of 32 Predictions'!$A$6:$A$25&lt;&gt;""),-1,_xlfn.SEQUENCE(ROWS(_xlfn._xlws.FILTER('Round of 32 Predictions'!$A$6:$A$25,'Round of 32 Predictions'!$A$6:$A$25&lt;&gt;""))),1),1,{1,2}),"")</f>
        <v>Affaninho</v>
      </c>
      <c r="P25" s="139">
        <v>42</v>
      </c>
    </row>
    <row r="26" spans="6:16" ht="18" customHeight="1">
      <c r="F26" s="126">
        <v>2</v>
      </c>
      <c r="G26" s="127" t="str" cm="1">
        <f t="array" ref="G26:H26">IFERROR(INDEX(_xlfn.SORTBY(_xlfn._xlws.FILTER(CHOOSE({1,2},Leaderboard!$B$6:$B$25,Leaderboard!$G$6:$G$25),Leaderboard!$B$6:$B$25&lt;&gt;""),_xlfn._xlws.FILTER(Leaderboard!$G$6:$G$25,Leaderboard!$B$6:$B$25&lt;&gt;""),-1,_xlfn._xlws.FILTER(Leaderboard!$B$6:$B$25,Leaderboard!$B$6:$B$25&lt;&gt;""),1),2,{1,2}),"")</f>
        <v>Aldy</v>
      </c>
      <c r="H26" s="128">
        <v>144</v>
      </c>
      <c r="J26" s="150" t="str">
        <f>'Instructions &amp; Rules'!M19</f>
        <v>Türkiye</v>
      </c>
      <c r="K26" s="151">
        <f>COUNTIF('Final Predictions'!$B$6:$B$25,J26)</f>
        <v>0</v>
      </c>
      <c r="L26" s="152">
        <f>COUNTIF('Final Predictions'!$B$6:$B$25,J26)+COUNTIF('Final Predictions'!$C$6:$C$25,J26)</f>
        <v>0</v>
      </c>
      <c r="N26" s="140">
        <v>2</v>
      </c>
      <c r="O26" s="141" t="str" cm="1">
        <f t="array" ref="O26:P26">IFERROR(INDEX(_xlfn.SORTBY(_xlfn._xlws.FILTER(CHOOSE({1,2},'Round of 32 Predictions'!$A$6:$A$25,'Round of 32 Predictions'!$R$6:$R$25+'Round of 16 Predictions'!$J$6:$J$25+'Quarter-finals Predictions'!$F$6:$F$25+'Semi-finals Predictions'!$D$6:$D$25+'Final Predictions'!$E$6:$E$25),'Round of 32 Predictions'!$A$6:$A$25&lt;&gt;""),_xlfn._xlws.FILTER('Round of 32 Predictions'!$R$6:$R$25+'Round of 16 Predictions'!$J$6:$J$25+'Quarter-finals Predictions'!$F$6:$F$25+'Semi-finals Predictions'!$D$6:$D$25+'Final Predictions'!$E$6:$E$25,'Round of 32 Predictions'!$A$6:$A$25&lt;&gt;""),-1,_xlfn.SEQUENCE(ROWS(_xlfn._xlws.FILTER('Round of 32 Predictions'!$A$6:$A$25,'Round of 32 Predictions'!$A$6:$A$25&lt;&gt;""))),1),2,{1,2}),"")</f>
        <v>M Fakhri Auladana</v>
      </c>
      <c r="P26" s="142">
        <v>40</v>
      </c>
    </row>
    <row r="27" spans="6:16" ht="18" customHeight="1">
      <c r="F27" s="123">
        <v>3</v>
      </c>
      <c r="G27" s="124" t="str" cm="1">
        <f t="array" ref="G27:H27">IFERROR(INDEX(_xlfn.SORTBY(_xlfn._xlws.FILTER(CHOOSE({1,2},Leaderboard!$B$6:$B$25,Leaderboard!$G$6:$G$25),Leaderboard!$B$6:$B$25&lt;&gt;""),_xlfn._xlws.FILTER(Leaderboard!$G$6:$G$25,Leaderboard!$B$6:$B$25&lt;&gt;""),-1,_xlfn._xlws.FILTER(Leaderboard!$B$6:$B$25,Leaderboard!$B$6:$B$25&lt;&gt;""),1),3,{1,2}),"")</f>
        <v>Febby Yudhi Pratama</v>
      </c>
      <c r="H27" s="125">
        <v>143</v>
      </c>
      <c r="J27" s="150" t="str">
        <f>'Instructions &amp; Rules'!M20</f>
        <v>Germany</v>
      </c>
      <c r="K27" s="151">
        <f>COUNTIF('Final Predictions'!$B$6:$B$25,J27)</f>
        <v>0</v>
      </c>
      <c r="L27" s="152">
        <f>COUNTIF('Final Predictions'!$B$6:$B$25,J27)+COUNTIF('Final Predictions'!$C$6:$C$25,J27)</f>
        <v>0</v>
      </c>
      <c r="N27" s="137">
        <v>3</v>
      </c>
      <c r="O27" s="138" t="str" cm="1">
        <f t="array" ref="O27:P27">IFERROR(INDEX(_xlfn.SORTBY(_xlfn._xlws.FILTER(CHOOSE({1,2},'Round of 32 Predictions'!$A$6:$A$25,'Round of 32 Predictions'!$R$6:$R$25+'Round of 16 Predictions'!$J$6:$J$25+'Quarter-finals Predictions'!$F$6:$F$25+'Semi-finals Predictions'!$D$6:$D$25+'Final Predictions'!$E$6:$E$25),'Round of 32 Predictions'!$A$6:$A$25&lt;&gt;""),_xlfn._xlws.FILTER('Round of 32 Predictions'!$R$6:$R$25+'Round of 16 Predictions'!$J$6:$J$25+'Quarter-finals Predictions'!$F$6:$F$25+'Semi-finals Predictions'!$D$6:$D$25+'Final Predictions'!$E$6:$E$25,'Round of 32 Predictions'!$A$6:$A$25&lt;&gt;""),-1,_xlfn.SEQUENCE(ROWS(_xlfn._xlws.FILTER('Round of 32 Predictions'!$A$6:$A$25,'Round of 32 Predictions'!$A$6:$A$25&lt;&gt;""))),1),3,{1,2}),"")</f>
        <v>Muhammad Naufal Aiman</v>
      </c>
      <c r="P27" s="139">
        <v>40</v>
      </c>
    </row>
    <row r="28" spans="6:16" ht="18" customHeight="1">
      <c r="F28" s="126">
        <v>4</v>
      </c>
      <c r="G28" s="127" t="str" cm="1">
        <f t="array" ref="G28:H28">IFERROR(INDEX(_xlfn.SORTBY(_xlfn._xlws.FILTER(CHOOSE({1,2},Leaderboard!$B$6:$B$25,Leaderboard!$G$6:$G$25),Leaderboard!$B$6:$B$25&lt;&gt;""),_xlfn._xlws.FILTER(Leaderboard!$G$6:$G$25,Leaderboard!$B$6:$B$25&lt;&gt;""),-1,_xlfn._xlws.FILTER(Leaderboard!$B$6:$B$25,Leaderboard!$B$6:$B$25&lt;&gt;""),1),4,{1,2}),"")</f>
        <v>Fathan Mauludin</v>
      </c>
      <c r="H28" s="128">
        <v>132</v>
      </c>
      <c r="J28" s="150" t="str">
        <f>'Instructions &amp; Rules'!M21</f>
        <v>Côte d'Ivoire</v>
      </c>
      <c r="K28" s="151">
        <f>COUNTIF('Final Predictions'!$B$6:$B$25,J28)</f>
        <v>0</v>
      </c>
      <c r="L28" s="152">
        <f>COUNTIF('Final Predictions'!$B$6:$B$25,J28)+COUNTIF('Final Predictions'!$C$6:$C$25,J28)</f>
        <v>0</v>
      </c>
      <c r="N28" s="140">
        <v>4</v>
      </c>
      <c r="O28" s="141" t="str" cm="1">
        <f t="array" ref="O28:P28">IFERROR(INDEX(_xlfn.SORTBY(_xlfn._xlws.FILTER(CHOOSE({1,2},'Round of 32 Predictions'!$A$6:$A$25,'Round of 32 Predictions'!$R$6:$R$25+'Round of 16 Predictions'!$J$6:$J$25+'Quarter-finals Predictions'!$F$6:$F$25+'Semi-finals Predictions'!$D$6:$D$25+'Final Predictions'!$E$6:$E$25),'Round of 32 Predictions'!$A$6:$A$25&lt;&gt;""),_xlfn._xlws.FILTER('Round of 32 Predictions'!$R$6:$R$25+'Round of 16 Predictions'!$J$6:$J$25+'Quarter-finals Predictions'!$F$6:$F$25+'Semi-finals Predictions'!$D$6:$D$25+'Final Predictions'!$E$6:$E$25,'Round of 32 Predictions'!$A$6:$A$25&lt;&gt;""),-1,_xlfn.SEQUENCE(ROWS(_xlfn._xlws.FILTER('Round of 32 Predictions'!$A$6:$A$25,'Round of 32 Predictions'!$A$6:$A$25&lt;&gt;""))),1),4,{1,2}),"")</f>
        <v>Febby Yudhi Pratama</v>
      </c>
      <c r="P28" s="142">
        <v>38</v>
      </c>
    </row>
    <row r="29" spans="6:16" ht="18" customHeight="1">
      <c r="F29" s="123">
        <v>5</v>
      </c>
      <c r="G29" s="124" t="str" cm="1">
        <f t="array" ref="G29:H29">IFERROR(INDEX(_xlfn.SORTBY(_xlfn._xlws.FILTER(CHOOSE({1,2},Leaderboard!$B$6:$B$25,Leaderboard!$G$6:$G$25),Leaderboard!$B$6:$B$25&lt;&gt;""),_xlfn._xlws.FILTER(Leaderboard!$G$6:$G$25,Leaderboard!$B$6:$B$25&lt;&gt;""),-1,_xlfn._xlws.FILTER(Leaderboard!$B$6:$B$25,Leaderboard!$B$6:$B$25&lt;&gt;""),1),5,{1,2}),"")</f>
        <v>Affaninho</v>
      </c>
      <c r="H29" s="125">
        <v>126</v>
      </c>
      <c r="J29" s="150" t="str">
        <f>'Instructions &amp; Rules'!M22</f>
        <v>Ecuador</v>
      </c>
      <c r="K29" s="151">
        <f>COUNTIF('Final Predictions'!$B$6:$B$25,J29)</f>
        <v>0</v>
      </c>
      <c r="L29" s="152">
        <f>COUNTIF('Final Predictions'!$B$6:$B$25,J29)+COUNTIF('Final Predictions'!$C$6:$C$25,J29)</f>
        <v>0</v>
      </c>
      <c r="N29" s="137">
        <v>5</v>
      </c>
      <c r="O29" s="138" t="str" cm="1">
        <f t="array" ref="O29:P29">IFERROR(INDEX(_xlfn.SORTBY(_xlfn._xlws.FILTER(CHOOSE({1,2},'Round of 32 Predictions'!$A$6:$A$25,'Round of 32 Predictions'!$R$6:$R$25+'Round of 16 Predictions'!$J$6:$J$25+'Quarter-finals Predictions'!$F$6:$F$25+'Semi-finals Predictions'!$D$6:$D$25+'Final Predictions'!$E$6:$E$25),'Round of 32 Predictions'!$A$6:$A$25&lt;&gt;""),_xlfn._xlws.FILTER('Round of 32 Predictions'!$R$6:$R$25+'Round of 16 Predictions'!$J$6:$J$25+'Quarter-finals Predictions'!$F$6:$F$25+'Semi-finals Predictions'!$D$6:$D$25+'Final Predictions'!$E$6:$E$25,'Round of 32 Predictions'!$A$6:$A$25&lt;&gt;""),-1,_xlfn.SEQUENCE(ROWS(_xlfn._xlws.FILTER('Round of 32 Predictions'!$A$6:$A$25,'Round of 32 Predictions'!$A$6:$A$25&lt;&gt;""))),1),5,{1,2}),"")</f>
        <v>Fathan Mauludin</v>
      </c>
      <c r="P29" s="139">
        <v>38</v>
      </c>
    </row>
    <row r="30" spans="6:16" ht="18" customHeight="1">
      <c r="F30" s="126">
        <v>6</v>
      </c>
      <c r="G30" s="127" t="str" cm="1">
        <f t="array" ref="G30:H30">IFERROR(INDEX(_xlfn.SORTBY(_xlfn._xlws.FILTER(CHOOSE({1,2},Leaderboard!$B$6:$B$25,Leaderboard!$G$6:$G$25),Leaderboard!$B$6:$B$25&lt;&gt;""),_xlfn._xlws.FILTER(Leaderboard!$G$6:$G$25,Leaderboard!$B$6:$B$25&lt;&gt;""),-1,_xlfn._xlws.FILTER(Leaderboard!$B$6:$B$25,Leaderboard!$B$6:$B$25&lt;&gt;""),1),6,{1,2}),"")</f>
        <v>M Fakhri Auladana</v>
      </c>
      <c r="H30" s="128">
        <v>125</v>
      </c>
      <c r="J30" s="150" t="str">
        <f>'Instructions &amp; Rules'!M23</f>
        <v>Curaçao</v>
      </c>
      <c r="K30" s="151">
        <f>COUNTIF('Final Predictions'!$B$6:$B$25,J30)</f>
        <v>0</v>
      </c>
      <c r="L30" s="152">
        <f>COUNTIF('Final Predictions'!$B$6:$B$25,J30)+COUNTIF('Final Predictions'!$C$6:$C$25,J30)</f>
        <v>0</v>
      </c>
      <c r="N30" s="140">
        <v>6</v>
      </c>
      <c r="O30" s="141" t="str" cm="1">
        <f t="array" ref="O30:P30">IFERROR(INDEX(_xlfn.SORTBY(_xlfn._xlws.FILTER(CHOOSE({1,2},'Round of 32 Predictions'!$A$6:$A$25,'Round of 32 Predictions'!$R$6:$R$25+'Round of 16 Predictions'!$J$6:$J$25+'Quarter-finals Predictions'!$F$6:$F$25+'Semi-finals Predictions'!$D$6:$D$25+'Final Predictions'!$E$6:$E$25),'Round of 32 Predictions'!$A$6:$A$25&lt;&gt;""),_xlfn._xlws.FILTER('Round of 32 Predictions'!$R$6:$R$25+'Round of 16 Predictions'!$J$6:$J$25+'Quarter-finals Predictions'!$F$6:$F$25+'Semi-finals Predictions'!$D$6:$D$25+'Final Predictions'!$E$6:$E$25,'Round of 32 Predictions'!$A$6:$A$25&lt;&gt;""),-1,_xlfn.SEQUENCE(ROWS(_xlfn._xlws.FILTER('Round of 32 Predictions'!$A$6:$A$25,'Round of 32 Predictions'!$A$6:$A$25&lt;&gt;""))),1),6,{1,2}),"")</f>
        <v>Ahade</v>
      </c>
      <c r="P30" s="142">
        <v>38</v>
      </c>
    </row>
    <row r="31" spans="6:16" ht="18" customHeight="1">
      <c r="F31" s="123">
        <v>7</v>
      </c>
      <c r="G31" s="124" t="str" cm="1">
        <f t="array" ref="G31:H31">IFERROR(INDEX(_xlfn.SORTBY(_xlfn._xlws.FILTER(CHOOSE({1,2},Leaderboard!$B$6:$B$25,Leaderboard!$G$6:$G$25),Leaderboard!$B$6:$B$25&lt;&gt;""),_xlfn._xlws.FILTER(Leaderboard!$G$6:$G$25,Leaderboard!$B$6:$B$25&lt;&gt;""),-1,_xlfn._xlws.FILTER(Leaderboard!$B$6:$B$25,Leaderboard!$B$6:$B$25&lt;&gt;""),1),7,{1,2}),"")</f>
        <v>Ahade</v>
      </c>
      <c r="H31" s="125">
        <v>122</v>
      </c>
      <c r="J31" s="150" t="str">
        <f>'Instructions &amp; Rules'!M24</f>
        <v>Netherlands</v>
      </c>
      <c r="K31" s="151">
        <f>COUNTIF('Final Predictions'!$B$6:$B$25,J31)</f>
        <v>0</v>
      </c>
      <c r="L31" s="152">
        <f>COUNTIF('Final Predictions'!$B$6:$B$25,J31)+COUNTIF('Final Predictions'!$C$6:$C$25,J31)</f>
        <v>0</v>
      </c>
      <c r="N31" s="137">
        <v>7</v>
      </c>
      <c r="O31" s="138" t="str" cm="1">
        <f t="array" ref="O31:P31">IFERROR(INDEX(_xlfn.SORTBY(_xlfn._xlws.FILTER(CHOOSE({1,2},'Round of 32 Predictions'!$A$6:$A$25,'Round of 32 Predictions'!$R$6:$R$25+'Round of 16 Predictions'!$J$6:$J$25+'Quarter-finals Predictions'!$F$6:$F$25+'Semi-finals Predictions'!$D$6:$D$25+'Final Predictions'!$E$6:$E$25),'Round of 32 Predictions'!$A$6:$A$25&lt;&gt;""),_xlfn._xlws.FILTER('Round of 32 Predictions'!$R$6:$R$25+'Round of 16 Predictions'!$J$6:$J$25+'Quarter-finals Predictions'!$F$6:$F$25+'Semi-finals Predictions'!$D$6:$D$25+'Final Predictions'!$E$6:$E$25,'Round of 32 Predictions'!$A$6:$A$25&lt;&gt;""),-1,_xlfn.SEQUENCE(ROWS(_xlfn._xlws.FILTER('Round of 32 Predictions'!$A$6:$A$25,'Round of 32 Predictions'!$A$6:$A$25&lt;&gt;""))),1),7,{1,2}),"")</f>
        <v>Dausman</v>
      </c>
      <c r="P31" s="139">
        <v>38</v>
      </c>
    </row>
    <row r="32" spans="6:16" ht="18" customHeight="1">
      <c r="F32" s="126">
        <v>8</v>
      </c>
      <c r="G32" s="127" t="str" cm="1">
        <f t="array" ref="G32:H32">IFERROR(INDEX(_xlfn.SORTBY(_xlfn._xlws.FILTER(CHOOSE({1,2},Leaderboard!$B$6:$B$25,Leaderboard!$G$6:$G$25),Leaderboard!$B$6:$B$25&lt;&gt;""),_xlfn._xlws.FILTER(Leaderboard!$G$6:$G$25,Leaderboard!$B$6:$B$25&lt;&gt;""),-1,_xlfn._xlws.FILTER(Leaderboard!$B$6:$B$25,Leaderboard!$B$6:$B$25&lt;&gt;""),1),8,{1,2}),"")</f>
        <v>Dausman</v>
      </c>
      <c r="H32" s="128">
        <v>38</v>
      </c>
      <c r="J32" s="150" t="str">
        <f>'Instructions &amp; Rules'!M25</f>
        <v>Japan</v>
      </c>
      <c r="K32" s="151">
        <f>COUNTIF('Final Predictions'!$B$6:$B$25,J32)</f>
        <v>0</v>
      </c>
      <c r="L32" s="152">
        <f>COUNTIF('Final Predictions'!$B$6:$B$25,J32)+COUNTIF('Final Predictions'!$C$6:$C$25,J32)</f>
        <v>0</v>
      </c>
      <c r="N32" s="140">
        <v>8</v>
      </c>
      <c r="O32" s="141" t="str" cm="1">
        <f t="array" ref="O32:P32">IFERROR(INDEX(_xlfn.SORTBY(_xlfn._xlws.FILTER(CHOOSE({1,2},'Round of 32 Predictions'!$A$6:$A$25,'Round of 32 Predictions'!$R$6:$R$25+'Round of 16 Predictions'!$J$6:$J$25+'Quarter-finals Predictions'!$F$6:$F$25+'Semi-finals Predictions'!$D$6:$D$25+'Final Predictions'!$E$6:$E$25),'Round of 32 Predictions'!$A$6:$A$25&lt;&gt;""),_xlfn._xlws.FILTER('Round of 32 Predictions'!$R$6:$R$25+'Round of 16 Predictions'!$J$6:$J$25+'Quarter-finals Predictions'!$F$6:$F$25+'Semi-finals Predictions'!$D$6:$D$25+'Final Predictions'!$E$6:$E$25,'Round of 32 Predictions'!$A$6:$A$25&lt;&gt;""),-1,_xlfn.SEQUENCE(ROWS(_xlfn._xlws.FILTER('Round of 32 Predictions'!$A$6:$A$25,'Round of 32 Predictions'!$A$6:$A$25&lt;&gt;""))),1),8,{1,2}),"")</f>
        <v>Aldy</v>
      </c>
      <c r="P32" s="142">
        <v>36</v>
      </c>
    </row>
    <row r="33" spans="6:16" ht="18" customHeight="1">
      <c r="F33" s="123">
        <v>9</v>
      </c>
      <c r="G33" s="124" t="str" cm="1">
        <f t="array" ref="G33:H33">IFERROR(INDEX(_xlfn.SORTBY(_xlfn._xlws.FILTER(CHOOSE({1,2},Leaderboard!$B$6:$B$25,Leaderboard!$G$6:$G$25),Leaderboard!$B$6:$B$25&lt;&gt;""),_xlfn._xlws.FILTER(Leaderboard!$G$6:$G$25,Leaderboard!$B$6:$B$25&lt;&gt;""),-1,_xlfn._xlws.FILTER(Leaderboard!$B$6:$B$25,Leaderboard!$B$6:$B$25&lt;&gt;""),1),9,{1,2}),"")</f>
        <v>Aji</v>
      </c>
      <c r="H33" s="125">
        <v>30</v>
      </c>
      <c r="J33" s="150" t="str">
        <f>'Instructions &amp; Rules'!M26</f>
        <v>Sweden</v>
      </c>
      <c r="K33" s="151">
        <f>COUNTIF('Final Predictions'!$B$6:$B$25,J33)</f>
        <v>0</v>
      </c>
      <c r="L33" s="152">
        <f>COUNTIF('Final Predictions'!$B$6:$B$25,J33)+COUNTIF('Final Predictions'!$C$6:$C$25,J33)</f>
        <v>0</v>
      </c>
      <c r="N33" s="137">
        <v>9</v>
      </c>
      <c r="O33" s="138" t="str" cm="1">
        <f t="array" ref="O33:P33">IFERROR(INDEX(_xlfn.SORTBY(_xlfn._xlws.FILTER(CHOOSE({1,2},'Round of 32 Predictions'!$A$6:$A$25,'Round of 32 Predictions'!$R$6:$R$25+'Round of 16 Predictions'!$J$6:$J$25+'Quarter-finals Predictions'!$F$6:$F$25+'Semi-finals Predictions'!$D$6:$D$25+'Final Predictions'!$E$6:$E$25),'Round of 32 Predictions'!$A$6:$A$25&lt;&gt;""),_xlfn._xlws.FILTER('Round of 32 Predictions'!$R$6:$R$25+'Round of 16 Predictions'!$J$6:$J$25+'Quarter-finals Predictions'!$F$6:$F$25+'Semi-finals Predictions'!$D$6:$D$25+'Final Predictions'!$E$6:$E$25,'Round of 32 Predictions'!$A$6:$A$25&lt;&gt;""),-1,_xlfn.SEQUENCE(ROWS(_xlfn._xlws.FILTER('Round of 32 Predictions'!$A$6:$A$25,'Round of 32 Predictions'!$A$6:$A$25&lt;&gt;""))),1),9,{1,2}),"")</f>
        <v>Aji</v>
      </c>
      <c r="P33" s="139">
        <v>30</v>
      </c>
    </row>
    <row r="34" spans="6:16" ht="18" customHeight="1">
      <c r="F34" s="126">
        <v>10</v>
      </c>
      <c r="G34" s="127" t="str" cm="1">
        <f t="array" ref="G34:H34">IFERROR(INDEX(_xlfn.SORTBY(_xlfn._xlws.FILTER(CHOOSE({1,2},Leaderboard!$B$6:$B$25,Leaderboard!$G$6:$G$25),Leaderboard!$B$6:$B$25&lt;&gt;""),_xlfn._xlws.FILTER(Leaderboard!$G$6:$G$25,Leaderboard!$B$6:$B$25&lt;&gt;""),-1,_xlfn._xlws.FILTER(Leaderboard!$B$6:$B$25,Leaderboard!$B$6:$B$25&lt;&gt;""),1),10,{1,2}),"")</f>
        <v>Wawa</v>
      </c>
      <c r="H34" s="128">
        <v>12</v>
      </c>
      <c r="J34" s="150" t="str">
        <f>'Instructions &amp; Rules'!M27</f>
        <v>Tunisia</v>
      </c>
      <c r="K34" s="151">
        <f>COUNTIF('Final Predictions'!$B$6:$B$25,J34)</f>
        <v>0</v>
      </c>
      <c r="L34" s="152">
        <f>COUNTIF('Final Predictions'!$B$6:$B$25,J34)+COUNTIF('Final Predictions'!$C$6:$C$25,J34)</f>
        <v>0</v>
      </c>
      <c r="N34" s="140">
        <v>10</v>
      </c>
      <c r="O34" s="141" t="str" cm="1">
        <f t="array" ref="O34:P34">IFERROR(INDEX(_xlfn.SORTBY(_xlfn._xlws.FILTER(CHOOSE({1,2},'Round of 32 Predictions'!$A$6:$A$25,'Round of 32 Predictions'!$R$6:$R$25+'Round of 16 Predictions'!$J$6:$J$25+'Quarter-finals Predictions'!$F$6:$F$25+'Semi-finals Predictions'!$D$6:$D$25+'Final Predictions'!$E$6:$E$25),'Round of 32 Predictions'!$A$6:$A$25&lt;&gt;""),_xlfn._xlws.FILTER('Round of 32 Predictions'!$R$6:$R$25+'Round of 16 Predictions'!$J$6:$J$25+'Quarter-finals Predictions'!$F$6:$F$25+'Semi-finals Predictions'!$D$6:$D$25+'Final Predictions'!$E$6:$E$25,'Round of 32 Predictions'!$A$6:$A$25&lt;&gt;""),-1,_xlfn.SEQUENCE(ROWS(_xlfn._xlws.FILTER('Round of 32 Predictions'!$A$6:$A$25,'Round of 32 Predictions'!$A$6:$A$25&lt;&gt;""))),1),10,{1,2}),"")</f>
        <v>Wawa</v>
      </c>
      <c r="P34" s="142">
        <v>12</v>
      </c>
    </row>
    <row r="35" spans="6:16" ht="18" customHeight="1">
      <c r="J35" s="150" t="str">
        <f>'Instructions &amp; Rules'!M28</f>
        <v>Belgium</v>
      </c>
      <c r="K35" s="151">
        <f>COUNTIF('Final Predictions'!$B$6:$B$25,J35)</f>
        <v>0</v>
      </c>
      <c r="L35" s="152">
        <f>COUNTIF('Final Predictions'!$B$6:$B$25,J35)+COUNTIF('Final Predictions'!$C$6:$C$25,J35)</f>
        <v>0</v>
      </c>
      <c r="N35" s="117"/>
      <c r="O35" s="117"/>
      <c r="P35" s="117"/>
    </row>
    <row r="36" spans="6:16" ht="18" customHeight="1">
      <c r="J36" s="150" t="str">
        <f>'Instructions &amp; Rules'!M29</f>
        <v>Egypt</v>
      </c>
      <c r="K36" s="151">
        <f>COUNTIF('Final Predictions'!$B$6:$B$25,J36)</f>
        <v>0</v>
      </c>
      <c r="L36" s="152">
        <f>COUNTIF('Final Predictions'!$B$6:$B$25,J36)+COUNTIF('Final Predictions'!$C$6:$C$25,J36)</f>
        <v>0</v>
      </c>
      <c r="N36" s="210" t="s">
        <v>344</v>
      </c>
      <c r="O36" s="210"/>
      <c r="P36" s="210"/>
    </row>
    <row r="37" spans="6:16" ht="18" customHeight="1">
      <c r="J37" s="150" t="str">
        <f>'Instructions &amp; Rules'!M30</f>
        <v>IR Iran</v>
      </c>
      <c r="K37" s="151">
        <f>COUNTIF('Final Predictions'!$B$6:$B$25,J37)</f>
        <v>0</v>
      </c>
      <c r="L37" s="152">
        <f>COUNTIF('Final Predictions'!$B$6:$B$25,J37)+COUNTIF('Final Predictions'!$C$6:$C$25,J37)</f>
        <v>0</v>
      </c>
      <c r="N37" s="143" t="s">
        <v>228</v>
      </c>
      <c r="O37" s="143" t="s">
        <v>267</v>
      </c>
      <c r="P37" s="143" t="s">
        <v>2</v>
      </c>
    </row>
    <row r="38" spans="6:16" ht="18" customHeight="1">
      <c r="J38" s="150" t="str">
        <f>'Instructions &amp; Rules'!M31</f>
        <v>New Zealand</v>
      </c>
      <c r="K38" s="151">
        <f>COUNTIF('Final Predictions'!$B$6:$B$25,J38)</f>
        <v>0</v>
      </c>
      <c r="L38" s="152">
        <f>COUNTIF('Final Predictions'!$B$6:$B$25,J38)+COUNTIF('Final Predictions'!$C$6:$C$25,J38)</f>
        <v>0</v>
      </c>
      <c r="N38" s="144">
        <v>1</v>
      </c>
      <c r="O38" s="145" t="str" cm="1">
        <f t="array" ref="O38:P38">IFERROR(INDEX(_xlfn.SORTBY(_xlfn._xlws.FILTER(CHOOSE({1,2},'Round of 32 Predictions'!$A$6:$A$25,'Round of 32 Predictions'!$R$6:$R$25),'Round of 32 Predictions'!$A$6:$A$25&lt;&gt;""),_xlfn._xlws.FILTER('Round of 32 Predictions'!$R$6:$R$25,'Round of 32 Predictions'!$A$6:$A$25&lt;&gt;""),-1,_xlfn.SEQUENCE(ROWS(_xlfn._xlws.FILTER('Round of 32 Predictions'!$A$6:$A$25,'Round of 32 Predictions'!$A$6:$A$25&lt;&gt;""))),1),1,{1,2}),"")</f>
        <v>Affaninho</v>
      </c>
      <c r="P38" s="146">
        <v>30</v>
      </c>
    </row>
    <row r="39" spans="6:16" ht="18" customHeight="1">
      <c r="J39" s="150" t="str">
        <f>'Instructions &amp; Rules'!M32</f>
        <v>Spain</v>
      </c>
      <c r="K39" s="151">
        <f>COUNTIF('Final Predictions'!$B$6:$B$25,J39)</f>
        <v>0</v>
      </c>
      <c r="L39" s="152">
        <f>COUNTIF('Final Predictions'!$B$6:$B$25,J39)+COUNTIF('Final Predictions'!$C$6:$C$25,J39)</f>
        <v>0</v>
      </c>
      <c r="N39" s="140">
        <v>2</v>
      </c>
      <c r="O39" s="141" t="str" cm="1">
        <f t="array" ref="O39:P39">IFERROR(INDEX(_xlfn.SORTBY(_xlfn._xlws.FILTER(CHOOSE({1,2},'Round of 32 Predictions'!$A$6:$A$25,'Round of 32 Predictions'!$R$6:$R$25),'Round of 32 Predictions'!$A$6:$A$25&lt;&gt;""),_xlfn._xlws.FILTER('Round of 32 Predictions'!$R$6:$R$25,'Round of 32 Predictions'!$A$6:$A$25&lt;&gt;""),-1,_xlfn.SEQUENCE(ROWS(_xlfn._xlws.FILTER('Round of 32 Predictions'!$A$6:$A$25,'Round of 32 Predictions'!$A$6:$A$25&lt;&gt;""))),1),2,{1,2}),"")</f>
        <v>M Fakhri Auladana</v>
      </c>
      <c r="P39" s="142">
        <v>28</v>
      </c>
    </row>
    <row r="40" spans="6:16" ht="18" customHeight="1">
      <c r="J40" s="150" t="str">
        <f>'Instructions &amp; Rules'!M33</f>
        <v>Cabo Verde</v>
      </c>
      <c r="K40" s="151">
        <f>COUNTIF('Final Predictions'!$B$6:$B$25,J40)</f>
        <v>0</v>
      </c>
      <c r="L40" s="152">
        <f>COUNTIF('Final Predictions'!$B$6:$B$25,J40)+COUNTIF('Final Predictions'!$C$6:$C$25,J40)</f>
        <v>0</v>
      </c>
      <c r="N40" s="144">
        <v>3</v>
      </c>
      <c r="O40" s="145" t="str" cm="1">
        <f t="array" ref="O40:P40">IFERROR(INDEX(_xlfn.SORTBY(_xlfn._xlws.FILTER(CHOOSE({1,2},'Round of 32 Predictions'!$A$6:$A$25,'Round of 32 Predictions'!$R$6:$R$25),'Round of 32 Predictions'!$A$6:$A$25&lt;&gt;""),_xlfn._xlws.FILTER('Round of 32 Predictions'!$R$6:$R$25,'Round of 32 Predictions'!$A$6:$A$25&lt;&gt;""),-1,_xlfn.SEQUENCE(ROWS(_xlfn._xlws.FILTER('Round of 32 Predictions'!$A$6:$A$25,'Round of 32 Predictions'!$A$6:$A$25&lt;&gt;""))),1),3,{1,2}),"")</f>
        <v>Muhammad Naufal Aiman</v>
      </c>
      <c r="P40" s="146">
        <v>28</v>
      </c>
    </row>
    <row r="41" spans="6:16" ht="18" customHeight="1">
      <c r="J41" s="150" t="str">
        <f>'Instructions &amp; Rules'!M34</f>
        <v>Uruguay</v>
      </c>
      <c r="K41" s="151">
        <f>COUNTIF('Final Predictions'!$B$6:$B$25,J41)</f>
        <v>0</v>
      </c>
      <c r="L41" s="152">
        <f>COUNTIF('Final Predictions'!$B$6:$B$25,J41)+COUNTIF('Final Predictions'!$C$6:$C$25,J41)</f>
        <v>0</v>
      </c>
      <c r="N41" s="140">
        <v>4</v>
      </c>
      <c r="O41" s="141" t="str" cm="1">
        <f t="array" ref="O41:P41">IFERROR(INDEX(_xlfn.SORTBY(_xlfn._xlws.FILTER(CHOOSE({1,2},'Round of 32 Predictions'!$A$6:$A$25,'Round of 32 Predictions'!$R$6:$R$25),'Round of 32 Predictions'!$A$6:$A$25&lt;&gt;""),_xlfn._xlws.FILTER('Round of 32 Predictions'!$R$6:$R$25,'Round of 32 Predictions'!$A$6:$A$25&lt;&gt;""),-1,_xlfn.SEQUENCE(ROWS(_xlfn._xlws.FILTER('Round of 32 Predictions'!$A$6:$A$25,'Round of 32 Predictions'!$A$6:$A$25&lt;&gt;""))),1),4,{1,2}),"")</f>
        <v>Aldy</v>
      </c>
      <c r="P41" s="142">
        <v>28</v>
      </c>
    </row>
    <row r="42" spans="6:16" ht="18" customHeight="1">
      <c r="J42" s="150" t="str">
        <f>'Instructions &amp; Rules'!M35</f>
        <v>Saudi Arabia</v>
      </c>
      <c r="K42" s="151">
        <f>COUNTIF('Final Predictions'!$B$6:$B$25,J42)</f>
        <v>0</v>
      </c>
      <c r="L42" s="152">
        <f>COUNTIF('Final Predictions'!$B$6:$B$25,J42)+COUNTIF('Final Predictions'!$C$6:$C$25,J42)</f>
        <v>0</v>
      </c>
      <c r="N42" s="144">
        <v>5</v>
      </c>
      <c r="O42" s="145" t="str" cm="1">
        <f t="array" ref="O42:P42">IFERROR(INDEX(_xlfn.SORTBY(_xlfn._xlws.FILTER(CHOOSE({1,2},'Round of 32 Predictions'!$A$6:$A$25,'Round of 32 Predictions'!$R$6:$R$25),'Round of 32 Predictions'!$A$6:$A$25&lt;&gt;""),_xlfn._xlws.FILTER('Round of 32 Predictions'!$R$6:$R$25,'Round of 32 Predictions'!$A$6:$A$25&lt;&gt;""),-1,_xlfn.SEQUENCE(ROWS(_xlfn._xlws.FILTER('Round of 32 Predictions'!$A$6:$A$25,'Round of 32 Predictions'!$A$6:$A$25&lt;&gt;""))),1),5,{1,2}),"")</f>
        <v>Febby Yudhi Pratama</v>
      </c>
      <c r="P42" s="146">
        <v>26</v>
      </c>
    </row>
    <row r="43" spans="6:16" ht="18" customHeight="1">
      <c r="J43" s="150" t="str">
        <f>'Instructions &amp; Rules'!M36</f>
        <v>France</v>
      </c>
      <c r="K43" s="151">
        <f>COUNTIF('Final Predictions'!$B$6:$B$25,J43)</f>
        <v>0</v>
      </c>
      <c r="L43" s="152">
        <f>COUNTIF('Final Predictions'!$B$6:$B$25,J43)+COUNTIF('Final Predictions'!$C$6:$C$25,J43)</f>
        <v>0</v>
      </c>
      <c r="N43" s="140">
        <v>6</v>
      </c>
      <c r="O43" s="141" t="str" cm="1">
        <f t="array" ref="O43:P43">IFERROR(INDEX(_xlfn.SORTBY(_xlfn._xlws.FILTER(CHOOSE({1,2},'Round of 32 Predictions'!$A$6:$A$25,'Round of 32 Predictions'!$R$6:$R$25),'Round of 32 Predictions'!$A$6:$A$25&lt;&gt;""),_xlfn._xlws.FILTER('Round of 32 Predictions'!$R$6:$R$25,'Round of 32 Predictions'!$A$6:$A$25&lt;&gt;""),-1,_xlfn.SEQUENCE(ROWS(_xlfn._xlws.FILTER('Round of 32 Predictions'!$A$6:$A$25,'Round of 32 Predictions'!$A$6:$A$25&lt;&gt;""))),1),6,{1,2}),"")</f>
        <v>Fathan Mauludin</v>
      </c>
      <c r="P43" s="142">
        <v>26</v>
      </c>
    </row>
    <row r="44" spans="6:16" ht="18" customHeight="1">
      <c r="J44" s="150" t="str">
        <f>'Instructions &amp; Rules'!M37</f>
        <v>Norway</v>
      </c>
      <c r="K44" s="151">
        <f>COUNTIF('Final Predictions'!$B$6:$B$25,J44)</f>
        <v>0</v>
      </c>
      <c r="L44" s="152">
        <f>COUNTIF('Final Predictions'!$B$6:$B$25,J44)+COUNTIF('Final Predictions'!$C$6:$C$25,J44)</f>
        <v>0</v>
      </c>
      <c r="N44" s="144">
        <v>7</v>
      </c>
      <c r="O44" s="145" t="str" cm="1">
        <f t="array" ref="O44:P44">IFERROR(INDEX(_xlfn.SORTBY(_xlfn._xlws.FILTER(CHOOSE({1,2},'Round of 32 Predictions'!$A$6:$A$25,'Round of 32 Predictions'!$R$6:$R$25),'Round of 32 Predictions'!$A$6:$A$25&lt;&gt;""),_xlfn._xlws.FILTER('Round of 32 Predictions'!$R$6:$R$25,'Round of 32 Predictions'!$A$6:$A$25&lt;&gt;""),-1,_xlfn.SEQUENCE(ROWS(_xlfn._xlws.FILTER('Round of 32 Predictions'!$A$6:$A$25,'Round of 32 Predictions'!$A$6:$A$25&lt;&gt;""))),1),7,{1,2}),"")</f>
        <v>Ahade</v>
      </c>
      <c r="P44" s="146">
        <v>26</v>
      </c>
    </row>
    <row r="45" spans="6:16" ht="18" customHeight="1">
      <c r="J45" s="150" t="str">
        <f>'Instructions &amp; Rules'!M38</f>
        <v>Senegal</v>
      </c>
      <c r="K45" s="151">
        <f>COUNTIF('Final Predictions'!$B$6:$B$25,J45)</f>
        <v>0</v>
      </c>
      <c r="L45" s="152">
        <f>COUNTIF('Final Predictions'!$B$6:$B$25,J45)+COUNTIF('Final Predictions'!$C$6:$C$25,J45)</f>
        <v>0</v>
      </c>
      <c r="N45" s="140">
        <v>8</v>
      </c>
      <c r="O45" s="141" t="str" cm="1">
        <f t="array" ref="O45:P45">IFERROR(INDEX(_xlfn.SORTBY(_xlfn._xlws.FILTER(CHOOSE({1,2},'Round of 32 Predictions'!$A$6:$A$25,'Round of 32 Predictions'!$R$6:$R$25),'Round of 32 Predictions'!$A$6:$A$25&lt;&gt;""),_xlfn._xlws.FILTER('Round of 32 Predictions'!$R$6:$R$25,'Round of 32 Predictions'!$A$6:$A$25&lt;&gt;""),-1,_xlfn.SEQUENCE(ROWS(_xlfn._xlws.FILTER('Round of 32 Predictions'!$A$6:$A$25,'Round of 32 Predictions'!$A$6:$A$25&lt;&gt;""))),1),8,{1,2}),"")</f>
        <v>Dausman</v>
      </c>
      <c r="P45" s="142">
        <v>26</v>
      </c>
    </row>
    <row r="46" spans="6:16" ht="18" customHeight="1">
      <c r="J46" s="150" t="str">
        <f>'Instructions &amp; Rules'!M39</f>
        <v>Iraq</v>
      </c>
      <c r="K46" s="151">
        <f>COUNTIF('Final Predictions'!$B$6:$B$25,J46)</f>
        <v>0</v>
      </c>
      <c r="L46" s="152">
        <f>COUNTIF('Final Predictions'!$B$6:$B$25,J46)+COUNTIF('Final Predictions'!$C$6:$C$25,J46)</f>
        <v>0</v>
      </c>
      <c r="N46" s="144">
        <v>9</v>
      </c>
      <c r="O46" s="145" t="str" cm="1">
        <f t="array" ref="O46:P46">IFERROR(INDEX(_xlfn.SORTBY(_xlfn._xlws.FILTER(CHOOSE({1,2},'Round of 32 Predictions'!$A$6:$A$25,'Round of 32 Predictions'!$R$6:$R$25),'Round of 32 Predictions'!$A$6:$A$25&lt;&gt;""),_xlfn._xlws.FILTER('Round of 32 Predictions'!$R$6:$R$25,'Round of 32 Predictions'!$A$6:$A$25&lt;&gt;""),-1,_xlfn.SEQUENCE(ROWS(_xlfn._xlws.FILTER('Round of 32 Predictions'!$A$6:$A$25,'Round of 32 Predictions'!$A$6:$A$25&lt;&gt;""))),1),9,{1,2}),"")</f>
        <v>Aji</v>
      </c>
      <c r="P46" s="146">
        <v>18</v>
      </c>
    </row>
    <row r="47" spans="6:16" ht="18" customHeight="1">
      <c r="J47" s="150" t="str">
        <f>'Instructions &amp; Rules'!M40</f>
        <v>Argentina</v>
      </c>
      <c r="K47" s="151">
        <f>COUNTIF('Final Predictions'!$B$6:$B$25,J47)</f>
        <v>0</v>
      </c>
      <c r="L47" s="152">
        <f>COUNTIF('Final Predictions'!$B$6:$B$25,J47)+COUNTIF('Final Predictions'!$C$6:$C$25,J47)</f>
        <v>0</v>
      </c>
      <c r="N47" s="140">
        <v>10</v>
      </c>
      <c r="O47" s="141" t="str" cm="1">
        <f t="array" ref="O47:P47">IFERROR(INDEX(_xlfn.SORTBY(_xlfn._xlws.FILTER(CHOOSE({1,2},'Round of 32 Predictions'!$A$6:$A$25,'Round of 32 Predictions'!$R$6:$R$25),'Round of 32 Predictions'!$A$6:$A$25&lt;&gt;""),_xlfn._xlws.FILTER('Round of 32 Predictions'!$R$6:$R$25,'Round of 32 Predictions'!$A$6:$A$25&lt;&gt;""),-1,_xlfn.SEQUENCE(ROWS(_xlfn._xlws.FILTER('Round of 32 Predictions'!$A$6:$A$25,'Round of 32 Predictions'!$A$6:$A$25&lt;&gt;""))),1),10,{1,2}),"")</f>
        <v>Wawa</v>
      </c>
      <c r="P47" s="142">
        <v>0</v>
      </c>
    </row>
    <row r="48" spans="6:16" ht="18" customHeight="1">
      <c r="J48" s="150" t="str">
        <f>'Instructions &amp; Rules'!M41</f>
        <v>Austria</v>
      </c>
      <c r="K48" s="151">
        <f>COUNTIF('Final Predictions'!$B$6:$B$25,J48)</f>
        <v>0</v>
      </c>
      <c r="L48" s="152">
        <f>COUNTIF('Final Predictions'!$B$6:$B$25,J48)+COUNTIF('Final Predictions'!$C$6:$C$25,J48)</f>
        <v>0</v>
      </c>
      <c r="N48" s="117"/>
      <c r="O48" s="117"/>
      <c r="P48" s="117"/>
    </row>
    <row r="49" spans="10:16" ht="18" customHeight="1">
      <c r="J49" s="150" t="str">
        <f>'Instructions &amp; Rules'!M42</f>
        <v>Algeria</v>
      </c>
      <c r="K49" s="151">
        <f>COUNTIF('Final Predictions'!$B$6:$B$25,J49)</f>
        <v>0</v>
      </c>
      <c r="L49" s="152">
        <f>COUNTIF('Final Predictions'!$B$6:$B$25,J49)+COUNTIF('Final Predictions'!$C$6:$C$25,J49)</f>
        <v>0</v>
      </c>
      <c r="N49" s="210" t="s">
        <v>345</v>
      </c>
      <c r="O49" s="210"/>
      <c r="P49" s="210"/>
    </row>
    <row r="50" spans="10:16" ht="18" customHeight="1">
      <c r="J50" s="150" t="str">
        <f>'Instructions &amp; Rules'!M43</f>
        <v>Jordan</v>
      </c>
      <c r="K50" s="151">
        <f>COUNTIF('Final Predictions'!$B$6:$B$25,J50)</f>
        <v>0</v>
      </c>
      <c r="L50" s="152">
        <f>COUNTIF('Final Predictions'!$B$6:$B$25,J50)+COUNTIF('Final Predictions'!$C$6:$C$25,J50)</f>
        <v>0</v>
      </c>
      <c r="N50" s="143" t="s">
        <v>228</v>
      </c>
      <c r="O50" s="143" t="s">
        <v>267</v>
      </c>
      <c r="P50" s="143" t="s">
        <v>2</v>
      </c>
    </row>
    <row r="51" spans="10:16" ht="18" customHeight="1">
      <c r="J51" s="150" t="str">
        <f>'Instructions &amp; Rules'!M44</f>
        <v>Colombia</v>
      </c>
      <c r="K51" s="151">
        <f>COUNTIF('Final Predictions'!$B$6:$B$25,J51)</f>
        <v>0</v>
      </c>
      <c r="L51" s="152">
        <f>COUNTIF('Final Predictions'!$B$6:$B$25,J51)+COUNTIF('Final Predictions'!$C$6:$C$25,J51)</f>
        <v>0</v>
      </c>
      <c r="N51" s="144">
        <v>1</v>
      </c>
      <c r="O51" s="145" t="str" cm="1">
        <f t="array" ref="O51:P51">IFERROR(INDEX(_xlfn.SORTBY(_xlfn._xlws.FILTER(CHOOSE({1,2},'Round of 16 Predictions'!$A$6:$A$25,'Round of 16 Predictions'!$J$6:$J$25),'Round of 16 Predictions'!$A$6:$A$25&lt;&gt;""),_xlfn._xlws.FILTER('Round of 16 Predictions'!$J$6:$J$25,'Round of 16 Predictions'!$A$6:$A$25&lt;&gt;""),-1,_xlfn.SEQUENCE(ROWS(_xlfn._xlws.FILTER('Round of 16 Predictions'!$A$6:$A$25,'Round of 16 Predictions'!$A$6:$A$25&lt;&gt;""))),1),1,{1,2}),"")</f>
        <v>Febby Yudhi Pratama</v>
      </c>
      <c r="P51" s="146">
        <v>12</v>
      </c>
    </row>
    <row r="52" spans="10:16" ht="18" customHeight="1">
      <c r="J52" s="150" t="str">
        <f>'Instructions &amp; Rules'!M45</f>
        <v>Portugal</v>
      </c>
      <c r="K52" s="151">
        <f>COUNTIF('Final Predictions'!$B$6:$B$25,J52)</f>
        <v>0</v>
      </c>
      <c r="L52" s="152">
        <f>COUNTIF('Final Predictions'!$B$6:$B$25,J52)+COUNTIF('Final Predictions'!$C$6:$C$25,J52)</f>
        <v>0</v>
      </c>
      <c r="N52" s="140">
        <v>2</v>
      </c>
      <c r="O52" s="141" t="str" cm="1">
        <f t="array" ref="O52:P52">IFERROR(INDEX(_xlfn.SORTBY(_xlfn._xlws.FILTER(CHOOSE({1,2},'Round of 16 Predictions'!$A$6:$A$25,'Round of 16 Predictions'!$J$6:$J$25),'Round of 16 Predictions'!$A$6:$A$25&lt;&gt;""),_xlfn._xlws.FILTER('Round of 16 Predictions'!$J$6:$J$25,'Round of 16 Predictions'!$A$6:$A$25&lt;&gt;""),-1,_xlfn.SEQUENCE(ROWS(_xlfn._xlws.FILTER('Round of 16 Predictions'!$A$6:$A$25,'Round of 16 Predictions'!$A$6:$A$25&lt;&gt;""))),1),2,{1,2}),"")</f>
        <v>Fathan Mauludin</v>
      </c>
      <c r="P52" s="142">
        <v>12</v>
      </c>
    </row>
    <row r="53" spans="10:16" ht="18" customHeight="1">
      <c r="J53" s="150" t="str">
        <f>'Instructions &amp; Rules'!M46</f>
        <v>Congo DR</v>
      </c>
      <c r="K53" s="151">
        <f>COUNTIF('Final Predictions'!$B$6:$B$25,J53)</f>
        <v>0</v>
      </c>
      <c r="L53" s="152">
        <f>COUNTIF('Final Predictions'!$B$6:$B$25,J53)+COUNTIF('Final Predictions'!$C$6:$C$25,J53)</f>
        <v>0</v>
      </c>
      <c r="N53" s="144">
        <v>3</v>
      </c>
      <c r="O53" s="145" t="str" cm="1">
        <f t="array" ref="O53:P53">IFERROR(INDEX(_xlfn.SORTBY(_xlfn._xlws.FILTER(CHOOSE({1,2},'Round of 16 Predictions'!$A$6:$A$25,'Round of 16 Predictions'!$J$6:$J$25),'Round of 16 Predictions'!$A$6:$A$25&lt;&gt;""),_xlfn._xlws.FILTER('Round of 16 Predictions'!$J$6:$J$25,'Round of 16 Predictions'!$A$6:$A$25&lt;&gt;""),-1,_xlfn.SEQUENCE(ROWS(_xlfn._xlws.FILTER('Round of 16 Predictions'!$A$6:$A$25,'Round of 16 Predictions'!$A$6:$A$25&lt;&gt;""))),1),3,{1,2}),"")</f>
        <v>M Fakhri Auladana</v>
      </c>
      <c r="P53" s="146">
        <v>12</v>
      </c>
    </row>
    <row r="54" spans="10:16" ht="18" customHeight="1">
      <c r="J54" s="150" t="str">
        <f>'Instructions &amp; Rules'!M47</f>
        <v>Uzbekistan</v>
      </c>
      <c r="K54" s="151">
        <f>COUNTIF('Final Predictions'!$B$6:$B$25,J54)</f>
        <v>0</v>
      </c>
      <c r="L54" s="152">
        <f>COUNTIF('Final Predictions'!$B$6:$B$25,J54)+COUNTIF('Final Predictions'!$C$6:$C$25,J54)</f>
        <v>0</v>
      </c>
      <c r="N54" s="140">
        <v>4</v>
      </c>
      <c r="O54" s="141" t="str" cm="1">
        <f t="array" ref="O54:P54">IFERROR(INDEX(_xlfn.SORTBY(_xlfn._xlws.FILTER(CHOOSE({1,2},'Round of 16 Predictions'!$A$6:$A$25,'Round of 16 Predictions'!$J$6:$J$25),'Round of 16 Predictions'!$A$6:$A$25&lt;&gt;""),_xlfn._xlws.FILTER('Round of 16 Predictions'!$J$6:$J$25,'Round of 16 Predictions'!$A$6:$A$25&lt;&gt;""),-1,_xlfn.SEQUENCE(ROWS(_xlfn._xlws.FILTER('Round of 16 Predictions'!$A$6:$A$25,'Round of 16 Predictions'!$A$6:$A$25&lt;&gt;""))),1),4,{1,2}),"")</f>
        <v>Muhammad Naufal Aiman</v>
      </c>
      <c r="P54" s="142">
        <v>12</v>
      </c>
    </row>
    <row r="55" spans="10:16" ht="18" customHeight="1">
      <c r="J55" s="150" t="str">
        <f>'Instructions &amp; Rules'!M48</f>
        <v>England</v>
      </c>
      <c r="K55" s="151">
        <f>COUNTIF('Final Predictions'!$B$6:$B$25,J55)</f>
        <v>0</v>
      </c>
      <c r="L55" s="152">
        <f>COUNTIF('Final Predictions'!$B$6:$B$25,J55)+COUNTIF('Final Predictions'!$C$6:$C$25,J55)</f>
        <v>0</v>
      </c>
      <c r="N55" s="144">
        <v>5</v>
      </c>
      <c r="O55" s="145" t="str" cm="1">
        <f t="array" ref="O55:P55">IFERROR(INDEX(_xlfn.SORTBY(_xlfn._xlws.FILTER(CHOOSE({1,2},'Round of 16 Predictions'!$A$6:$A$25,'Round of 16 Predictions'!$J$6:$J$25),'Round of 16 Predictions'!$A$6:$A$25&lt;&gt;""),_xlfn._xlws.FILTER('Round of 16 Predictions'!$J$6:$J$25,'Round of 16 Predictions'!$A$6:$A$25&lt;&gt;""),-1,_xlfn.SEQUENCE(ROWS(_xlfn._xlws.FILTER('Round of 16 Predictions'!$A$6:$A$25,'Round of 16 Predictions'!$A$6:$A$25&lt;&gt;""))),1),5,{1,2}),"")</f>
        <v>Ahade</v>
      </c>
      <c r="P55" s="146">
        <v>12</v>
      </c>
    </row>
    <row r="56" spans="10:16" ht="18" customHeight="1">
      <c r="J56" s="150" t="str">
        <f>'Instructions &amp; Rules'!M49</f>
        <v>Croatia</v>
      </c>
      <c r="K56" s="151">
        <f>COUNTIF('Final Predictions'!$B$6:$B$25,J56)</f>
        <v>0</v>
      </c>
      <c r="L56" s="152">
        <f>COUNTIF('Final Predictions'!$B$6:$B$25,J56)+COUNTIF('Final Predictions'!$C$6:$C$25,J56)</f>
        <v>0</v>
      </c>
      <c r="N56" s="140">
        <v>6</v>
      </c>
      <c r="O56" s="141" t="str" cm="1">
        <f t="array" ref="O56:P56">IFERROR(INDEX(_xlfn.SORTBY(_xlfn._xlws.FILTER(CHOOSE({1,2},'Round of 16 Predictions'!$A$6:$A$25,'Round of 16 Predictions'!$J$6:$J$25),'Round of 16 Predictions'!$A$6:$A$25&lt;&gt;""),_xlfn._xlws.FILTER('Round of 16 Predictions'!$J$6:$J$25,'Round of 16 Predictions'!$A$6:$A$25&lt;&gt;""),-1,_xlfn.SEQUENCE(ROWS(_xlfn._xlws.FILTER('Round of 16 Predictions'!$A$6:$A$25,'Round of 16 Predictions'!$A$6:$A$25&lt;&gt;""))),1),6,{1,2}),"")</f>
        <v>Affaninho</v>
      </c>
      <c r="P56" s="142">
        <v>12</v>
      </c>
    </row>
    <row r="57" spans="10:16" ht="18" customHeight="1">
      <c r="J57" s="150" t="str">
        <f>'Instructions &amp; Rules'!M50</f>
        <v>Ghana</v>
      </c>
      <c r="K57" s="151">
        <f>COUNTIF('Final Predictions'!$B$6:$B$25,J57)</f>
        <v>0</v>
      </c>
      <c r="L57" s="152">
        <f>COUNTIF('Final Predictions'!$B$6:$B$25,J57)+COUNTIF('Final Predictions'!$C$6:$C$25,J57)</f>
        <v>0</v>
      </c>
      <c r="N57" s="144">
        <v>7</v>
      </c>
      <c r="O57" s="145" t="str" cm="1">
        <f t="array" ref="O57:P57">IFERROR(INDEX(_xlfn.SORTBY(_xlfn._xlws.FILTER(CHOOSE({1,2},'Round of 16 Predictions'!$A$6:$A$25,'Round of 16 Predictions'!$J$6:$J$25),'Round of 16 Predictions'!$A$6:$A$25&lt;&gt;""),_xlfn._xlws.FILTER('Round of 16 Predictions'!$J$6:$J$25,'Round of 16 Predictions'!$A$6:$A$25&lt;&gt;""),-1,_xlfn.SEQUENCE(ROWS(_xlfn._xlws.FILTER('Round of 16 Predictions'!$A$6:$A$25,'Round of 16 Predictions'!$A$6:$A$25&lt;&gt;""))),1),7,{1,2}),"")</f>
        <v>Aji</v>
      </c>
      <c r="P57" s="146">
        <v>12</v>
      </c>
    </row>
    <row r="58" spans="10:16" ht="18" customHeight="1">
      <c r="J58" s="153" t="str">
        <f>'Instructions &amp; Rules'!M51</f>
        <v>Panama</v>
      </c>
      <c r="K58" s="154">
        <f>COUNTIF('Final Predictions'!$B$6:$B$25,J58)</f>
        <v>0</v>
      </c>
      <c r="L58" s="155">
        <f>COUNTIF('Final Predictions'!$B$6:$B$25,J58)+COUNTIF('Final Predictions'!$C$6:$C$25,J58)</f>
        <v>0</v>
      </c>
      <c r="N58" s="140">
        <v>8</v>
      </c>
      <c r="O58" s="141" t="str" cm="1">
        <f t="array" ref="O58:P58">IFERROR(INDEX(_xlfn.SORTBY(_xlfn._xlws.FILTER(CHOOSE({1,2},'Round of 16 Predictions'!$A$6:$A$25,'Round of 16 Predictions'!$J$6:$J$25),'Round of 16 Predictions'!$A$6:$A$25&lt;&gt;""),_xlfn._xlws.FILTER('Round of 16 Predictions'!$J$6:$J$25,'Round of 16 Predictions'!$A$6:$A$25&lt;&gt;""),-1,_xlfn.SEQUENCE(ROWS(_xlfn._xlws.FILTER('Round of 16 Predictions'!$A$6:$A$25,'Round of 16 Predictions'!$A$6:$A$25&lt;&gt;""))),1),8,{1,2}),"")</f>
        <v>Dausman</v>
      </c>
      <c r="P58" s="142">
        <v>12</v>
      </c>
    </row>
    <row r="59" spans="10:16" ht="18" customHeight="1">
      <c r="N59" s="144">
        <v>9</v>
      </c>
      <c r="O59" s="145" t="str" cm="1">
        <f t="array" ref="O59:P59">IFERROR(INDEX(_xlfn.SORTBY(_xlfn._xlws.FILTER(CHOOSE({1,2},'Round of 16 Predictions'!$A$6:$A$25,'Round of 16 Predictions'!$J$6:$J$25),'Round of 16 Predictions'!$A$6:$A$25&lt;&gt;""),_xlfn._xlws.FILTER('Round of 16 Predictions'!$J$6:$J$25,'Round of 16 Predictions'!$A$6:$A$25&lt;&gt;""),-1,_xlfn.SEQUENCE(ROWS(_xlfn._xlws.FILTER('Round of 16 Predictions'!$A$6:$A$25,'Round of 16 Predictions'!$A$6:$A$25&lt;&gt;""))),1),9,{1,2}),"")</f>
        <v>Wawa</v>
      </c>
      <c r="P59" s="146">
        <v>12</v>
      </c>
    </row>
    <row r="60" spans="10:16" ht="18" customHeight="1">
      <c r="N60" s="140">
        <v>10</v>
      </c>
      <c r="O60" s="141" t="str" cm="1">
        <f t="array" ref="O60:P60">IFERROR(INDEX(_xlfn.SORTBY(_xlfn._xlws.FILTER(CHOOSE({1,2},'Round of 16 Predictions'!$A$6:$A$25,'Round of 16 Predictions'!$J$6:$J$25),'Round of 16 Predictions'!$A$6:$A$25&lt;&gt;""),_xlfn._xlws.FILTER('Round of 16 Predictions'!$J$6:$J$25,'Round of 16 Predictions'!$A$6:$A$25&lt;&gt;""),-1,_xlfn.SEQUENCE(ROWS(_xlfn._xlws.FILTER('Round of 16 Predictions'!$A$6:$A$25,'Round of 16 Predictions'!$A$6:$A$25&lt;&gt;""))),1),10,{1,2}),"")</f>
        <v>Aldy</v>
      </c>
      <c r="P60" s="142">
        <v>8</v>
      </c>
    </row>
    <row r="61" spans="10:16" ht="18" customHeight="1">
      <c r="N61" s="117"/>
      <c r="O61" s="117"/>
      <c r="P61" s="117"/>
    </row>
    <row r="62" spans="10:16" ht="18" customHeight="1">
      <c r="N62" s="210" t="s">
        <v>346</v>
      </c>
      <c r="O62" s="210"/>
      <c r="P62" s="210"/>
    </row>
    <row r="63" spans="10:16" ht="18" customHeight="1">
      <c r="N63" s="143" t="s">
        <v>228</v>
      </c>
      <c r="O63" s="143" t="s">
        <v>267</v>
      </c>
      <c r="P63" s="143" t="s">
        <v>2</v>
      </c>
    </row>
    <row r="64" spans="10:16" ht="18" customHeight="1">
      <c r="N64" s="144">
        <v>1</v>
      </c>
      <c r="O64" s="145" t="str" cm="1">
        <f t="array" ref="O64:P64">IFERROR(INDEX(_xlfn.SORTBY(_xlfn._xlws.FILTER(CHOOSE({1,2},'Quarter-finals Predictions'!$A$6:$A$25,'Quarter-finals Predictions'!$F$6:$F$25),'Quarter-finals Predictions'!$A$6:$A$25&lt;&gt;""),_xlfn._xlws.FILTER('Quarter-finals Predictions'!$F$6:$F$25,'Quarter-finals Predictions'!$A$6:$A$25&lt;&gt;""),-1,_xlfn.SEQUENCE(ROWS(_xlfn._xlws.FILTER('Quarter-finals Predictions'!$A$6:$A$25,'Quarter-finals Predictions'!$A$6:$A$25&lt;&gt;""))),1),1,{1,2}),"")</f>
        <v>Febby Yudhi Pratama</v>
      </c>
      <c r="P64" s="146">
        <v>0</v>
      </c>
    </row>
    <row r="65" spans="14:16" ht="18" customHeight="1">
      <c r="N65" s="140">
        <v>2</v>
      </c>
      <c r="O65" s="141" t="str" cm="1">
        <f t="array" ref="O65:P65">IFERROR(INDEX(_xlfn.SORTBY(_xlfn._xlws.FILTER(CHOOSE({1,2},'Quarter-finals Predictions'!$A$6:$A$25,'Quarter-finals Predictions'!$F$6:$F$25),'Quarter-finals Predictions'!$A$6:$A$25&lt;&gt;""),_xlfn._xlws.FILTER('Quarter-finals Predictions'!$F$6:$F$25,'Quarter-finals Predictions'!$A$6:$A$25&lt;&gt;""),-1,_xlfn.SEQUENCE(ROWS(_xlfn._xlws.FILTER('Quarter-finals Predictions'!$A$6:$A$25,'Quarter-finals Predictions'!$A$6:$A$25&lt;&gt;""))),1),2,{1,2}),"")</f>
        <v>Fathan Mauludin</v>
      </c>
      <c r="P65" s="142">
        <v>0</v>
      </c>
    </row>
    <row r="66" spans="14:16" ht="18" customHeight="1">
      <c r="N66" s="144">
        <v>3</v>
      </c>
      <c r="O66" s="145" t="str" cm="1">
        <f t="array" ref="O66:P66">IFERROR(INDEX(_xlfn.SORTBY(_xlfn._xlws.FILTER(CHOOSE({1,2},'Quarter-finals Predictions'!$A$6:$A$25,'Quarter-finals Predictions'!$F$6:$F$25),'Quarter-finals Predictions'!$A$6:$A$25&lt;&gt;""),_xlfn._xlws.FILTER('Quarter-finals Predictions'!$F$6:$F$25,'Quarter-finals Predictions'!$A$6:$A$25&lt;&gt;""),-1,_xlfn.SEQUENCE(ROWS(_xlfn._xlws.FILTER('Quarter-finals Predictions'!$A$6:$A$25,'Quarter-finals Predictions'!$A$6:$A$25&lt;&gt;""))),1),3,{1,2}),"")</f>
        <v>M Fakhri Auladana</v>
      </c>
      <c r="P66" s="146">
        <v>0</v>
      </c>
    </row>
    <row r="67" spans="14:16" ht="18" customHeight="1">
      <c r="N67" s="140">
        <v>4</v>
      </c>
      <c r="O67" s="141" t="str" cm="1">
        <f t="array" ref="O67:P67">IFERROR(INDEX(_xlfn.SORTBY(_xlfn._xlws.FILTER(CHOOSE({1,2},'Quarter-finals Predictions'!$A$6:$A$25,'Quarter-finals Predictions'!$F$6:$F$25),'Quarter-finals Predictions'!$A$6:$A$25&lt;&gt;""),_xlfn._xlws.FILTER('Quarter-finals Predictions'!$F$6:$F$25,'Quarter-finals Predictions'!$A$6:$A$25&lt;&gt;""),-1,_xlfn.SEQUENCE(ROWS(_xlfn._xlws.FILTER('Quarter-finals Predictions'!$A$6:$A$25,'Quarter-finals Predictions'!$A$6:$A$25&lt;&gt;""))),1),4,{1,2}),"")</f>
        <v>Muhammad Naufal Aiman</v>
      </c>
      <c r="P67" s="142">
        <v>0</v>
      </c>
    </row>
    <row r="68" spans="14:16" ht="18" customHeight="1">
      <c r="N68" s="144">
        <v>5</v>
      </c>
      <c r="O68" s="145" t="str" cm="1">
        <f t="array" ref="O68:P68">IFERROR(INDEX(_xlfn.SORTBY(_xlfn._xlws.FILTER(CHOOSE({1,2},'Quarter-finals Predictions'!$A$6:$A$25,'Quarter-finals Predictions'!$F$6:$F$25),'Quarter-finals Predictions'!$A$6:$A$25&lt;&gt;""),_xlfn._xlws.FILTER('Quarter-finals Predictions'!$F$6:$F$25,'Quarter-finals Predictions'!$A$6:$A$25&lt;&gt;""),-1,_xlfn.SEQUENCE(ROWS(_xlfn._xlws.FILTER('Quarter-finals Predictions'!$A$6:$A$25,'Quarter-finals Predictions'!$A$6:$A$25&lt;&gt;""))),1),5,{1,2}),"")</f>
        <v>Ahade</v>
      </c>
      <c r="P68" s="146">
        <v>0</v>
      </c>
    </row>
    <row r="69" spans="14:16" ht="18" customHeight="1">
      <c r="N69" s="140">
        <v>6</v>
      </c>
      <c r="O69" s="141" t="str" cm="1">
        <f t="array" ref="O69:P69">IFERROR(INDEX(_xlfn.SORTBY(_xlfn._xlws.FILTER(CHOOSE({1,2},'Quarter-finals Predictions'!$A$6:$A$25,'Quarter-finals Predictions'!$F$6:$F$25),'Quarter-finals Predictions'!$A$6:$A$25&lt;&gt;""),_xlfn._xlws.FILTER('Quarter-finals Predictions'!$F$6:$F$25,'Quarter-finals Predictions'!$A$6:$A$25&lt;&gt;""),-1,_xlfn.SEQUENCE(ROWS(_xlfn._xlws.FILTER('Quarter-finals Predictions'!$A$6:$A$25,'Quarter-finals Predictions'!$A$6:$A$25&lt;&gt;""))),1),6,{1,2}),"")</f>
        <v>Aldy</v>
      </c>
      <c r="P69" s="142">
        <v>0</v>
      </c>
    </row>
    <row r="70" spans="14:16" ht="18" customHeight="1">
      <c r="N70" s="144">
        <v>7</v>
      </c>
      <c r="O70" s="145" t="str" cm="1">
        <f t="array" ref="O70:P70">IFERROR(INDEX(_xlfn.SORTBY(_xlfn._xlws.FILTER(CHOOSE({1,2},'Quarter-finals Predictions'!$A$6:$A$25,'Quarter-finals Predictions'!$F$6:$F$25),'Quarter-finals Predictions'!$A$6:$A$25&lt;&gt;""),_xlfn._xlws.FILTER('Quarter-finals Predictions'!$F$6:$F$25,'Quarter-finals Predictions'!$A$6:$A$25&lt;&gt;""),-1,_xlfn.SEQUENCE(ROWS(_xlfn._xlws.FILTER('Quarter-finals Predictions'!$A$6:$A$25,'Quarter-finals Predictions'!$A$6:$A$25&lt;&gt;""))),1),7,{1,2}),"")</f>
        <v>Affaninho</v>
      </c>
      <c r="P70" s="146">
        <v>0</v>
      </c>
    </row>
    <row r="71" spans="14:16" ht="18" customHeight="1">
      <c r="N71" s="140">
        <v>8</v>
      </c>
      <c r="O71" s="141" t="str" cm="1">
        <f t="array" ref="O71:P71">IFERROR(INDEX(_xlfn.SORTBY(_xlfn._xlws.FILTER(CHOOSE({1,2},'Quarter-finals Predictions'!$A$6:$A$25,'Quarter-finals Predictions'!$F$6:$F$25),'Quarter-finals Predictions'!$A$6:$A$25&lt;&gt;""),_xlfn._xlws.FILTER('Quarter-finals Predictions'!$F$6:$F$25,'Quarter-finals Predictions'!$A$6:$A$25&lt;&gt;""),-1,_xlfn.SEQUENCE(ROWS(_xlfn._xlws.FILTER('Quarter-finals Predictions'!$A$6:$A$25,'Quarter-finals Predictions'!$A$6:$A$25&lt;&gt;""))),1),8,{1,2}),"")</f>
        <v>Aji</v>
      </c>
      <c r="P71" s="142">
        <v>0</v>
      </c>
    </row>
    <row r="72" spans="14:16" ht="18" customHeight="1">
      <c r="N72" s="144">
        <v>9</v>
      </c>
      <c r="O72" s="145" t="str" cm="1">
        <f t="array" ref="O72:P72">IFERROR(INDEX(_xlfn.SORTBY(_xlfn._xlws.FILTER(CHOOSE({1,2},'Quarter-finals Predictions'!$A$6:$A$25,'Quarter-finals Predictions'!$F$6:$F$25),'Quarter-finals Predictions'!$A$6:$A$25&lt;&gt;""),_xlfn._xlws.FILTER('Quarter-finals Predictions'!$F$6:$F$25,'Quarter-finals Predictions'!$A$6:$A$25&lt;&gt;""),-1,_xlfn.SEQUENCE(ROWS(_xlfn._xlws.FILTER('Quarter-finals Predictions'!$A$6:$A$25,'Quarter-finals Predictions'!$A$6:$A$25&lt;&gt;""))),1),9,{1,2}),"")</f>
        <v>Dausman</v>
      </c>
      <c r="P72" s="146">
        <v>0</v>
      </c>
    </row>
    <row r="73" spans="14:16" ht="18" customHeight="1">
      <c r="N73" s="140">
        <v>10</v>
      </c>
      <c r="O73" s="141" t="str" cm="1">
        <f t="array" ref="O73:P73">IFERROR(INDEX(_xlfn.SORTBY(_xlfn._xlws.FILTER(CHOOSE({1,2},'Quarter-finals Predictions'!$A$6:$A$25,'Quarter-finals Predictions'!$F$6:$F$25),'Quarter-finals Predictions'!$A$6:$A$25&lt;&gt;""),_xlfn._xlws.FILTER('Quarter-finals Predictions'!$F$6:$F$25,'Quarter-finals Predictions'!$A$6:$A$25&lt;&gt;""),-1,_xlfn.SEQUENCE(ROWS(_xlfn._xlws.FILTER('Quarter-finals Predictions'!$A$6:$A$25,'Quarter-finals Predictions'!$A$6:$A$25&lt;&gt;""))),1),10,{1,2}),"")</f>
        <v>Wawa</v>
      </c>
      <c r="P73" s="142">
        <v>0</v>
      </c>
    </row>
    <row r="74" spans="14:16" ht="18" customHeight="1">
      <c r="N74" s="117"/>
      <c r="O74" s="117"/>
      <c r="P74" s="117"/>
    </row>
    <row r="75" spans="14:16" ht="18" customHeight="1">
      <c r="N75" s="210" t="s">
        <v>347</v>
      </c>
      <c r="O75" s="210"/>
      <c r="P75" s="210"/>
    </row>
    <row r="76" spans="14:16" ht="18" customHeight="1">
      <c r="N76" s="143" t="s">
        <v>228</v>
      </c>
      <c r="O76" s="143" t="s">
        <v>267</v>
      </c>
      <c r="P76" s="143" t="s">
        <v>2</v>
      </c>
    </row>
    <row r="77" spans="14:16" ht="18" customHeight="1">
      <c r="N77" s="144">
        <v>1</v>
      </c>
      <c r="O77" s="145" t="str" cm="1">
        <f t="array" ref="O77:P77">IFERROR(INDEX(_xlfn.SORTBY(_xlfn._xlws.FILTER(CHOOSE({1,2},'Semi-finals Predictions'!$A$6:$A$25,'Semi-finals Predictions'!$D$6:$D$25),'Semi-finals Predictions'!$A$6:$A$25&lt;&gt;""),_xlfn._xlws.FILTER('Semi-finals Predictions'!$D$6:$D$25,'Semi-finals Predictions'!$A$6:$A$25&lt;&gt;""),-1,_xlfn.SEQUENCE(ROWS(_xlfn._xlws.FILTER('Semi-finals Predictions'!$A$6:$A$25,'Semi-finals Predictions'!$A$6:$A$25&lt;&gt;""))),1),1,{1,2}),"")</f>
        <v>Febby Yudhi Pratama</v>
      </c>
      <c r="P77" s="146">
        <v>0</v>
      </c>
    </row>
    <row r="78" spans="14:16" ht="18" customHeight="1">
      <c r="N78" s="140">
        <v>2</v>
      </c>
      <c r="O78" s="141" t="str" cm="1">
        <f t="array" ref="O78:P78">IFERROR(INDEX(_xlfn.SORTBY(_xlfn._xlws.FILTER(CHOOSE({1,2},'Semi-finals Predictions'!$A$6:$A$25,'Semi-finals Predictions'!$D$6:$D$25),'Semi-finals Predictions'!$A$6:$A$25&lt;&gt;""),_xlfn._xlws.FILTER('Semi-finals Predictions'!$D$6:$D$25,'Semi-finals Predictions'!$A$6:$A$25&lt;&gt;""),-1,_xlfn.SEQUENCE(ROWS(_xlfn._xlws.FILTER('Semi-finals Predictions'!$A$6:$A$25,'Semi-finals Predictions'!$A$6:$A$25&lt;&gt;""))),1),2,{1,2}),"")</f>
        <v>Fathan Mauludin</v>
      </c>
      <c r="P78" s="142">
        <v>0</v>
      </c>
    </row>
    <row r="79" spans="14:16" ht="18" customHeight="1">
      <c r="N79" s="144">
        <v>3</v>
      </c>
      <c r="O79" s="145" t="str" cm="1">
        <f t="array" ref="O79:P79">IFERROR(INDEX(_xlfn.SORTBY(_xlfn._xlws.FILTER(CHOOSE({1,2},'Semi-finals Predictions'!$A$6:$A$25,'Semi-finals Predictions'!$D$6:$D$25),'Semi-finals Predictions'!$A$6:$A$25&lt;&gt;""),_xlfn._xlws.FILTER('Semi-finals Predictions'!$D$6:$D$25,'Semi-finals Predictions'!$A$6:$A$25&lt;&gt;""),-1,_xlfn.SEQUENCE(ROWS(_xlfn._xlws.FILTER('Semi-finals Predictions'!$A$6:$A$25,'Semi-finals Predictions'!$A$6:$A$25&lt;&gt;""))),1),3,{1,2}),"")</f>
        <v>M Fakhri Auladana</v>
      </c>
      <c r="P79" s="146">
        <v>0</v>
      </c>
    </row>
    <row r="80" spans="14:16" ht="18" customHeight="1">
      <c r="N80" s="140">
        <v>4</v>
      </c>
      <c r="O80" s="141" t="str" cm="1">
        <f t="array" ref="O80:P80">IFERROR(INDEX(_xlfn.SORTBY(_xlfn._xlws.FILTER(CHOOSE({1,2},'Semi-finals Predictions'!$A$6:$A$25,'Semi-finals Predictions'!$D$6:$D$25),'Semi-finals Predictions'!$A$6:$A$25&lt;&gt;""),_xlfn._xlws.FILTER('Semi-finals Predictions'!$D$6:$D$25,'Semi-finals Predictions'!$A$6:$A$25&lt;&gt;""),-1,_xlfn.SEQUENCE(ROWS(_xlfn._xlws.FILTER('Semi-finals Predictions'!$A$6:$A$25,'Semi-finals Predictions'!$A$6:$A$25&lt;&gt;""))),1),4,{1,2}),"")</f>
        <v>Muhammad Naufal Aiman</v>
      </c>
      <c r="P80" s="142">
        <v>0</v>
      </c>
    </row>
    <row r="81" spans="14:16" ht="18" customHeight="1">
      <c r="N81" s="144">
        <v>5</v>
      </c>
      <c r="O81" s="145" t="str" cm="1">
        <f t="array" ref="O81:P81">IFERROR(INDEX(_xlfn.SORTBY(_xlfn._xlws.FILTER(CHOOSE({1,2},'Semi-finals Predictions'!$A$6:$A$25,'Semi-finals Predictions'!$D$6:$D$25),'Semi-finals Predictions'!$A$6:$A$25&lt;&gt;""),_xlfn._xlws.FILTER('Semi-finals Predictions'!$D$6:$D$25,'Semi-finals Predictions'!$A$6:$A$25&lt;&gt;""),-1,_xlfn.SEQUENCE(ROWS(_xlfn._xlws.FILTER('Semi-finals Predictions'!$A$6:$A$25,'Semi-finals Predictions'!$A$6:$A$25&lt;&gt;""))),1),5,{1,2}),"")</f>
        <v>Ahade</v>
      </c>
      <c r="P81" s="146">
        <v>0</v>
      </c>
    </row>
    <row r="82" spans="14:16" ht="18" customHeight="1">
      <c r="N82" s="140">
        <v>6</v>
      </c>
      <c r="O82" s="141" t="str" cm="1">
        <f t="array" ref="O82:P82">IFERROR(INDEX(_xlfn.SORTBY(_xlfn._xlws.FILTER(CHOOSE({1,2},'Semi-finals Predictions'!$A$6:$A$25,'Semi-finals Predictions'!$D$6:$D$25),'Semi-finals Predictions'!$A$6:$A$25&lt;&gt;""),_xlfn._xlws.FILTER('Semi-finals Predictions'!$D$6:$D$25,'Semi-finals Predictions'!$A$6:$A$25&lt;&gt;""),-1,_xlfn.SEQUENCE(ROWS(_xlfn._xlws.FILTER('Semi-finals Predictions'!$A$6:$A$25,'Semi-finals Predictions'!$A$6:$A$25&lt;&gt;""))),1),6,{1,2}),"")</f>
        <v>Aldy</v>
      </c>
      <c r="P82" s="142">
        <v>0</v>
      </c>
    </row>
    <row r="83" spans="14:16" ht="18" customHeight="1">
      <c r="N83" s="144">
        <v>7</v>
      </c>
      <c r="O83" s="145" t="str" cm="1">
        <f t="array" ref="O83:P83">IFERROR(INDEX(_xlfn.SORTBY(_xlfn._xlws.FILTER(CHOOSE({1,2},'Semi-finals Predictions'!$A$6:$A$25,'Semi-finals Predictions'!$D$6:$D$25),'Semi-finals Predictions'!$A$6:$A$25&lt;&gt;""),_xlfn._xlws.FILTER('Semi-finals Predictions'!$D$6:$D$25,'Semi-finals Predictions'!$A$6:$A$25&lt;&gt;""),-1,_xlfn.SEQUENCE(ROWS(_xlfn._xlws.FILTER('Semi-finals Predictions'!$A$6:$A$25,'Semi-finals Predictions'!$A$6:$A$25&lt;&gt;""))),1),7,{1,2}),"")</f>
        <v>Affaninho</v>
      </c>
      <c r="P83" s="146">
        <v>0</v>
      </c>
    </row>
    <row r="84" spans="14:16" ht="18" customHeight="1">
      <c r="N84" s="140">
        <v>8</v>
      </c>
      <c r="O84" s="141" t="str" cm="1">
        <f t="array" ref="O84:P84">IFERROR(INDEX(_xlfn.SORTBY(_xlfn._xlws.FILTER(CHOOSE({1,2},'Semi-finals Predictions'!$A$6:$A$25,'Semi-finals Predictions'!$D$6:$D$25),'Semi-finals Predictions'!$A$6:$A$25&lt;&gt;""),_xlfn._xlws.FILTER('Semi-finals Predictions'!$D$6:$D$25,'Semi-finals Predictions'!$A$6:$A$25&lt;&gt;""),-1,_xlfn.SEQUENCE(ROWS(_xlfn._xlws.FILTER('Semi-finals Predictions'!$A$6:$A$25,'Semi-finals Predictions'!$A$6:$A$25&lt;&gt;""))),1),8,{1,2}),"")</f>
        <v>Aji</v>
      </c>
      <c r="P84" s="142">
        <v>0</v>
      </c>
    </row>
    <row r="85" spans="14:16" ht="18" customHeight="1">
      <c r="N85" s="144">
        <v>9</v>
      </c>
      <c r="O85" s="145" t="str" cm="1">
        <f t="array" ref="O85:P85">IFERROR(INDEX(_xlfn.SORTBY(_xlfn._xlws.FILTER(CHOOSE({1,2},'Semi-finals Predictions'!$A$6:$A$25,'Semi-finals Predictions'!$D$6:$D$25),'Semi-finals Predictions'!$A$6:$A$25&lt;&gt;""),_xlfn._xlws.FILTER('Semi-finals Predictions'!$D$6:$D$25,'Semi-finals Predictions'!$A$6:$A$25&lt;&gt;""),-1,_xlfn.SEQUENCE(ROWS(_xlfn._xlws.FILTER('Semi-finals Predictions'!$A$6:$A$25,'Semi-finals Predictions'!$A$6:$A$25&lt;&gt;""))),1),9,{1,2}),"")</f>
        <v>Dausman</v>
      </c>
      <c r="P85" s="146">
        <v>0</v>
      </c>
    </row>
    <row r="86" spans="14:16" ht="18" customHeight="1">
      <c r="N86" s="140">
        <v>10</v>
      </c>
      <c r="O86" s="141" t="str" cm="1">
        <f t="array" ref="O86:P86">IFERROR(INDEX(_xlfn.SORTBY(_xlfn._xlws.FILTER(CHOOSE({1,2},'Semi-finals Predictions'!$A$6:$A$25,'Semi-finals Predictions'!$D$6:$D$25),'Semi-finals Predictions'!$A$6:$A$25&lt;&gt;""),_xlfn._xlws.FILTER('Semi-finals Predictions'!$D$6:$D$25,'Semi-finals Predictions'!$A$6:$A$25&lt;&gt;""),-1,_xlfn.SEQUENCE(ROWS(_xlfn._xlws.FILTER('Semi-finals Predictions'!$A$6:$A$25,'Semi-finals Predictions'!$A$6:$A$25&lt;&gt;""))),1),10,{1,2}),"")</f>
        <v>Wawa</v>
      </c>
      <c r="P86" s="142">
        <v>0</v>
      </c>
    </row>
    <row r="87" spans="14:16" ht="18" customHeight="1">
      <c r="N87" s="117"/>
      <c r="O87" s="117"/>
      <c r="P87" s="117"/>
    </row>
    <row r="88" spans="14:16" ht="18" customHeight="1">
      <c r="N88" s="210" t="s">
        <v>348</v>
      </c>
      <c r="O88" s="210"/>
      <c r="P88" s="210"/>
    </row>
    <row r="89" spans="14:16" ht="15" customHeight="1">
      <c r="N89" s="143" t="s">
        <v>228</v>
      </c>
      <c r="O89" s="143" t="s">
        <v>267</v>
      </c>
      <c r="P89" s="143" t="s">
        <v>2</v>
      </c>
    </row>
    <row r="90" spans="14:16" ht="15" customHeight="1">
      <c r="N90" s="144">
        <v>1</v>
      </c>
      <c r="O90" s="145" t="str" cm="1">
        <f t="array" ref="O90:P90">IFERROR(INDEX(_xlfn.SORTBY(_xlfn._xlws.FILTER(CHOOSE({1,2},'Final Predictions'!$A$6:$A$25,'Final Predictions'!$E$6:$E$25),'Final Predictions'!$A$6:$A$25&lt;&gt;""),_xlfn._xlws.FILTER('Final Predictions'!$E$6:$E$25,'Final Predictions'!$A$6:$A$25&lt;&gt;""),-1,_xlfn.SEQUENCE(ROWS(_xlfn._xlws.FILTER('Final Predictions'!$A$6:$A$25,'Final Predictions'!$A$6:$A$25&lt;&gt;""))),1),1,{1,2}),"")</f>
        <v>Febby Yudhi Pratama</v>
      </c>
      <c r="P90" s="146">
        <v>0</v>
      </c>
    </row>
    <row r="91" spans="14:16" ht="15" customHeight="1">
      <c r="N91" s="140">
        <v>2</v>
      </c>
      <c r="O91" s="141" t="str" cm="1">
        <f t="array" ref="O91:P91">IFERROR(INDEX(_xlfn.SORTBY(_xlfn._xlws.FILTER(CHOOSE({1,2},'Final Predictions'!$A$6:$A$25,'Final Predictions'!$E$6:$E$25),'Final Predictions'!$A$6:$A$25&lt;&gt;""),_xlfn._xlws.FILTER('Final Predictions'!$E$6:$E$25,'Final Predictions'!$A$6:$A$25&lt;&gt;""),-1,_xlfn.SEQUENCE(ROWS(_xlfn._xlws.FILTER('Final Predictions'!$A$6:$A$25,'Final Predictions'!$A$6:$A$25&lt;&gt;""))),1),2,{1,2}),"")</f>
        <v>Fathan Mauludin</v>
      </c>
      <c r="P91" s="142">
        <v>0</v>
      </c>
    </row>
    <row r="92" spans="14:16" ht="15" customHeight="1">
      <c r="N92" s="144">
        <v>3</v>
      </c>
      <c r="O92" s="145" t="str" cm="1">
        <f t="array" ref="O92:P92">IFERROR(INDEX(_xlfn.SORTBY(_xlfn._xlws.FILTER(CHOOSE({1,2},'Final Predictions'!$A$6:$A$25,'Final Predictions'!$E$6:$E$25),'Final Predictions'!$A$6:$A$25&lt;&gt;""),_xlfn._xlws.FILTER('Final Predictions'!$E$6:$E$25,'Final Predictions'!$A$6:$A$25&lt;&gt;""),-1,_xlfn.SEQUENCE(ROWS(_xlfn._xlws.FILTER('Final Predictions'!$A$6:$A$25,'Final Predictions'!$A$6:$A$25&lt;&gt;""))),1),3,{1,2}),"")</f>
        <v>M Fakhri Auladana</v>
      </c>
      <c r="P92" s="146">
        <v>0</v>
      </c>
    </row>
    <row r="93" spans="14:16" ht="15" customHeight="1">
      <c r="N93" s="140">
        <v>4</v>
      </c>
      <c r="O93" s="141" t="str" cm="1">
        <f t="array" ref="O93:P93">IFERROR(INDEX(_xlfn.SORTBY(_xlfn._xlws.FILTER(CHOOSE({1,2},'Final Predictions'!$A$6:$A$25,'Final Predictions'!$E$6:$E$25),'Final Predictions'!$A$6:$A$25&lt;&gt;""),_xlfn._xlws.FILTER('Final Predictions'!$E$6:$E$25,'Final Predictions'!$A$6:$A$25&lt;&gt;""),-1,_xlfn.SEQUENCE(ROWS(_xlfn._xlws.FILTER('Final Predictions'!$A$6:$A$25,'Final Predictions'!$A$6:$A$25&lt;&gt;""))),1),4,{1,2}),"")</f>
        <v>Muhammad Naufal Aiman</v>
      </c>
      <c r="P93" s="142">
        <v>0</v>
      </c>
    </row>
    <row r="94" spans="14:16" ht="15" customHeight="1">
      <c r="N94" s="144">
        <v>5</v>
      </c>
      <c r="O94" s="145" t="str" cm="1">
        <f t="array" ref="O94:P94">IFERROR(INDEX(_xlfn.SORTBY(_xlfn._xlws.FILTER(CHOOSE({1,2},'Final Predictions'!$A$6:$A$25,'Final Predictions'!$E$6:$E$25),'Final Predictions'!$A$6:$A$25&lt;&gt;""),_xlfn._xlws.FILTER('Final Predictions'!$E$6:$E$25,'Final Predictions'!$A$6:$A$25&lt;&gt;""),-1,_xlfn.SEQUENCE(ROWS(_xlfn._xlws.FILTER('Final Predictions'!$A$6:$A$25,'Final Predictions'!$A$6:$A$25&lt;&gt;""))),1),5,{1,2}),"")</f>
        <v>Ahade</v>
      </c>
      <c r="P94" s="146">
        <v>0</v>
      </c>
    </row>
    <row r="95" spans="14:16" ht="15" customHeight="1">
      <c r="N95" s="140">
        <v>6</v>
      </c>
      <c r="O95" s="141" t="str" cm="1">
        <f t="array" ref="O95:P95">IFERROR(INDEX(_xlfn.SORTBY(_xlfn._xlws.FILTER(CHOOSE({1,2},'Final Predictions'!$A$6:$A$25,'Final Predictions'!$E$6:$E$25),'Final Predictions'!$A$6:$A$25&lt;&gt;""),_xlfn._xlws.FILTER('Final Predictions'!$E$6:$E$25,'Final Predictions'!$A$6:$A$25&lt;&gt;""),-1,_xlfn.SEQUENCE(ROWS(_xlfn._xlws.FILTER('Final Predictions'!$A$6:$A$25,'Final Predictions'!$A$6:$A$25&lt;&gt;""))),1),6,{1,2}),"")</f>
        <v>Aldy</v>
      </c>
      <c r="P95" s="142">
        <v>0</v>
      </c>
    </row>
    <row r="96" spans="14:16" ht="15" customHeight="1">
      <c r="N96" s="144">
        <v>7</v>
      </c>
      <c r="O96" s="145" t="str" cm="1">
        <f t="array" ref="O96:P96">IFERROR(INDEX(_xlfn.SORTBY(_xlfn._xlws.FILTER(CHOOSE({1,2},'Final Predictions'!$A$6:$A$25,'Final Predictions'!$E$6:$E$25),'Final Predictions'!$A$6:$A$25&lt;&gt;""),_xlfn._xlws.FILTER('Final Predictions'!$E$6:$E$25,'Final Predictions'!$A$6:$A$25&lt;&gt;""),-1,_xlfn.SEQUENCE(ROWS(_xlfn._xlws.FILTER('Final Predictions'!$A$6:$A$25,'Final Predictions'!$A$6:$A$25&lt;&gt;""))),1),7,{1,2}),"")</f>
        <v>Affaninho</v>
      </c>
      <c r="P96" s="146">
        <v>0</v>
      </c>
    </row>
    <row r="97" spans="14:16" ht="15" customHeight="1">
      <c r="N97" s="140">
        <v>8</v>
      </c>
      <c r="O97" s="141" t="str" cm="1">
        <f t="array" ref="O97:P97">IFERROR(INDEX(_xlfn.SORTBY(_xlfn._xlws.FILTER(CHOOSE({1,2},'Final Predictions'!$A$6:$A$25,'Final Predictions'!$E$6:$E$25),'Final Predictions'!$A$6:$A$25&lt;&gt;""),_xlfn._xlws.FILTER('Final Predictions'!$E$6:$E$25,'Final Predictions'!$A$6:$A$25&lt;&gt;""),-1,_xlfn.SEQUENCE(ROWS(_xlfn._xlws.FILTER('Final Predictions'!$A$6:$A$25,'Final Predictions'!$A$6:$A$25&lt;&gt;""))),1),8,{1,2}),"")</f>
        <v>Aji</v>
      </c>
      <c r="P97" s="142">
        <v>0</v>
      </c>
    </row>
    <row r="98" spans="14:16" ht="15" customHeight="1">
      <c r="N98" s="144">
        <v>9</v>
      </c>
      <c r="O98" s="145" t="str" cm="1">
        <f t="array" ref="O98:P98">IFERROR(INDEX(_xlfn.SORTBY(_xlfn._xlws.FILTER(CHOOSE({1,2},'Final Predictions'!$A$6:$A$25,'Final Predictions'!$E$6:$E$25),'Final Predictions'!$A$6:$A$25&lt;&gt;""),_xlfn._xlws.FILTER('Final Predictions'!$E$6:$E$25,'Final Predictions'!$A$6:$A$25&lt;&gt;""),-1,_xlfn.SEQUENCE(ROWS(_xlfn._xlws.FILTER('Final Predictions'!$A$6:$A$25,'Final Predictions'!$A$6:$A$25&lt;&gt;""))),1),9,{1,2}),"")</f>
        <v>Dausman</v>
      </c>
      <c r="P98" s="146">
        <v>0</v>
      </c>
    </row>
    <row r="99" spans="14:16" ht="15" customHeight="1">
      <c r="N99" s="140">
        <v>10</v>
      </c>
      <c r="O99" s="141" t="str" cm="1">
        <f t="array" ref="O99:P99">IFERROR(INDEX(_xlfn.SORTBY(_xlfn._xlws.FILTER(CHOOSE({1,2},'Final Predictions'!$A$6:$A$25,'Final Predictions'!$E$6:$E$25),'Final Predictions'!$A$6:$A$25&lt;&gt;""),_xlfn._xlws.FILTER('Final Predictions'!$E$6:$E$25,'Final Predictions'!$A$6:$A$25&lt;&gt;""),-1,_xlfn.SEQUENCE(ROWS(_xlfn._xlws.FILTER('Final Predictions'!$A$6:$A$25,'Final Predictions'!$A$6:$A$25&lt;&gt;""))),1),10,{1,2}),"")</f>
        <v>Wawa</v>
      </c>
      <c r="P99" s="142">
        <v>0</v>
      </c>
    </row>
  </sheetData>
  <mergeCells count="18">
    <mergeCell ref="N49:P49"/>
    <mergeCell ref="N62:P62"/>
    <mergeCell ref="N88:P88"/>
    <mergeCell ref="F23:H23"/>
    <mergeCell ref="G5:I7"/>
    <mergeCell ref="J5:L7"/>
    <mergeCell ref="N75:P75"/>
    <mergeCell ref="N10:P10"/>
    <mergeCell ref="N23:P23"/>
    <mergeCell ref="N36:P36"/>
    <mergeCell ref="A1:P2"/>
    <mergeCell ref="D4:F4"/>
    <mergeCell ref="G4:I4"/>
    <mergeCell ref="D5:F7"/>
    <mergeCell ref="J4:L4"/>
    <mergeCell ref="A3:P3"/>
    <mergeCell ref="A4:C4"/>
    <mergeCell ref="A5:C7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563cc2e-ae54-433e-a748-053f490805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8AA419CBDA87D04A81CF1C9D4AADC8AC" ma:contentTypeVersion="9" ma:contentTypeDescription="Buat sebuah dokumen baru." ma:contentTypeScope="" ma:versionID="8bd10dacafa02901f9e7a839b8be09c6">
  <xsd:schema xmlns:xsd="http://www.w3.org/2001/XMLSchema" xmlns:xs="http://www.w3.org/2001/XMLSchema" xmlns:p="http://schemas.microsoft.com/office/2006/metadata/properties" xmlns:ns3="a563cc2e-ae54-433e-a748-053f490805b0" targetNamespace="http://schemas.microsoft.com/office/2006/metadata/properties" ma:root="true" ma:fieldsID="976c596747295799d5a95df9ec50f465" ns3:_="">
    <xsd:import namespace="a563cc2e-ae54-433e-a748-053f490805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3cc2e-ae54-433e-a748-053f490805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A0D0BF-94BB-4241-940B-1890425B7D1B}"/>
</file>

<file path=customXml/itemProps2.xml><?xml version="1.0" encoding="utf-8"?>
<ds:datastoreItem xmlns:ds="http://schemas.openxmlformats.org/officeDocument/2006/customXml" ds:itemID="{65CAFA50-8452-43C3-98DB-D9CF593CFFE6}"/>
</file>

<file path=customXml/itemProps3.xml><?xml version="1.0" encoding="utf-8"?>
<ds:datastoreItem xmlns:ds="http://schemas.openxmlformats.org/officeDocument/2006/customXml" ds:itemID="{C0E5C6C1-BB67-43EA-9DC8-8B547A8CFF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2026-06-04T01:10:35Z</dcterms:created>
  <dcterms:modified xsi:type="dcterms:W3CDTF">2026-07-06T15:25:29Z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0x0101008AA419CBDA87D04A81CF1C9D4AADC8AC</vt:lpwstr>
  </property>
</Properties>
</file>